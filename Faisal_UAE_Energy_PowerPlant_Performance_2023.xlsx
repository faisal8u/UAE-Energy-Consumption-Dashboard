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Energy Data Analyst\"/>
    </mc:Choice>
  </mc:AlternateContent>
  <xr:revisionPtr revIDLastSave="0" documentId="13_ncr:1_{9AE90096-C560-43EE-8E89-32F1C8101A92}" xr6:coauthVersionLast="47" xr6:coauthVersionMax="47" xr10:uidLastSave="{00000000-0000-0000-0000-000000000000}"/>
  <bookViews>
    <workbookView xWindow="-108" yWindow="-108" windowWidth="23256" windowHeight="14856" firstSheet="2" activeTab="6" xr2:uid="{D97479DB-B741-4391-8C40-DFF4BFB005F6}"/>
  </bookViews>
  <sheets>
    <sheet name="Raw_Data" sheetId="3" r:id="rId1"/>
    <sheet name="Clean_Data" sheetId="9" r:id="rId2"/>
    <sheet name="Pivot_Table_P1" sheetId="11" r:id="rId3"/>
    <sheet name="Dashboard_P1" sheetId="12" r:id="rId4"/>
    <sheet name="Insights_P1" sheetId="13" r:id="rId5"/>
    <sheet name="Pivot_Table_P2" sheetId="14" r:id="rId6"/>
    <sheet name="Dashboard_P2" sheetId="15" r:id="rId7"/>
    <sheet name="Detail1" sheetId="7" state="hidden" r:id="rId8"/>
    <sheet name="Detail2" sheetId="8" state="hidden" r:id="rId9"/>
    <sheet name="Insights_P2" sheetId="17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5" l="1"/>
  <c r="J6" i="15"/>
  <c r="H6" i="15"/>
  <c r="F6" i="15"/>
  <c r="D6" i="15"/>
  <c r="B6" i="14"/>
  <c r="B5" i="14"/>
  <c r="B4" i="14"/>
  <c r="B3" i="14"/>
  <c r="B2" i="14"/>
  <c r="N6" i="12"/>
  <c r="K6" i="12"/>
  <c r="H6" i="12"/>
  <c r="E6" i="12"/>
  <c r="B6" i="12"/>
  <c r="B6" i="11"/>
  <c r="B5" i="11"/>
  <c r="B4" i="11"/>
  <c r="B3" i="11"/>
  <c r="B2" i="11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</calcChain>
</file>

<file path=xl/sharedStrings.xml><?xml version="1.0" encoding="utf-8"?>
<sst xmlns="http://schemas.openxmlformats.org/spreadsheetml/2006/main" count="504" uniqueCount="74">
  <si>
    <t>Month</t>
  </si>
  <si>
    <t>Region</t>
  </si>
  <si>
    <t>Source</t>
  </si>
  <si>
    <t>Generation_MWh</t>
  </si>
  <si>
    <t>Consumption_MWh</t>
  </si>
  <si>
    <t>Peak_Demand_MW</t>
  </si>
  <si>
    <t>Capacity_Factor_%</t>
  </si>
  <si>
    <t>Cost_per_MWh</t>
  </si>
  <si>
    <t>CO2_Tonnes</t>
  </si>
  <si>
    <t>Dubai</t>
  </si>
  <si>
    <t>Solar</t>
  </si>
  <si>
    <t>Gas</t>
  </si>
  <si>
    <t>Abu Dhabi</t>
  </si>
  <si>
    <t>Sharjah</t>
  </si>
  <si>
    <t>Nuclear</t>
  </si>
  <si>
    <t>Line_Loss_MWh</t>
  </si>
  <si>
    <t>Line_Loss_%</t>
  </si>
  <si>
    <t>KPI</t>
  </si>
  <si>
    <t>Total Generation (MWh)</t>
  </si>
  <si>
    <t>Total Consumption (MWh)</t>
  </si>
  <si>
    <t>Peak Demand (MW)</t>
  </si>
  <si>
    <t>Total CO2 (Tonnes)</t>
  </si>
  <si>
    <t>Value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</si>
  <si>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</si>
  <si>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</si>
  <si>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</si>
  <si>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</si>
  <si>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</si>
  <si>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</si>
  <si>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</si>
  <si>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</si>
  <si>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</si>
  <si>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</si>
  <si>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</si>
  <si>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</si>
  <si>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</si>
  <si>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</si>
  <si>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Consumption_MWh</t>
  </si>
  <si>
    <t>Sum of Generation_MWh</t>
  </si>
  <si>
    <t>Max of Peak_Demand_MW</t>
  </si>
  <si>
    <t>Details for Sum of Generation_MWh - Region: Abu Dhabi</t>
  </si>
  <si>
    <t>Details for Sum of Consumption_MWh - Region: Dubai</t>
  </si>
  <si>
    <t xml:space="preserve"> Avg Capacity Factor (%)</t>
  </si>
  <si>
    <t>UAE Energy Consumption &amp; Demand Dashboard - 2023</t>
  </si>
  <si>
    <t>Total Generation</t>
  </si>
  <si>
    <t>MWh</t>
  </si>
  <si>
    <t>Total Consumption</t>
  </si>
  <si>
    <t>Peak Demand</t>
  </si>
  <si>
    <t>MW</t>
  </si>
  <si>
    <t>Avg Capacity Factor</t>
  </si>
  <si>
    <t>%</t>
  </si>
  <si>
    <t>Total CO2</t>
  </si>
  <si>
    <t>Tonnes</t>
  </si>
  <si>
    <t>UAE Energy Consumption &amp; Demand — Key Insights 2023</t>
  </si>
  <si>
    <t>1. Total generation was 2,114,000 MWh against consumption of 2,071,900 MWh — indicating an overall line loss of approximately 2% across the UAE grid.</t>
  </si>
  <si>
    <t>2. Abu Dhabi was the highest generating region at 956,000 MWh driven by Nuclear and Solar capacity.</t>
  </si>
  <si>
    <t>3. Gas remained the dominant energy source at 43% of total generation — however Nuclear contributed a significant 32% through the Barakah plant.</t>
  </si>
  <si>
    <t>4. Peak demand reached 1,380 MW in July-August — directly reflecting UAE summer heat and maximum AC usage.</t>
  </si>
  <si>
    <t>5. Average capacity factor across all sources was 58.05% — pulled down by Solar's lower capacity factor of 15-25% compared to Nuclear's 90%+.</t>
  </si>
  <si>
    <t>Avg Capacity Factor (%)</t>
  </si>
  <si>
    <t>Total Generation Cost</t>
  </si>
  <si>
    <t>Avg Cost per MWh</t>
  </si>
  <si>
    <t>Sum of Cost_per_MWh</t>
  </si>
  <si>
    <t>Sum of CO2_Tonnes</t>
  </si>
  <si>
    <t>Average of Capacity_Factor_%</t>
  </si>
  <si>
    <t>UAE Power Plant Cost &amp; Performance Dashboard - 2023</t>
  </si>
  <si>
    <t>AED</t>
  </si>
  <si>
    <t>AED/MWh</t>
  </si>
  <si>
    <t>UAE Power Plant Cost &amp; Performance — Key Insights 2023</t>
  </si>
  <si>
    <t>1. Nuclear energy delivered the highest capacity factor at 93.8% — Barakah plant running consistently as UAE's most reliable baseload source.</t>
  </si>
  <si>
    <t xml:space="preserve">2. Solar had the lowest capacity factor at 25.5% — expected given UAE daylight hours and panel efficiency limitations. </t>
  </si>
  <si>
    <t>3. Gas was the most expensive source at the highest cost per MWh — while Nuclear was cheapest per unit due to zero fuel cost after construction.</t>
  </si>
  <si>
    <t>4. Total generation cost across all sources was AED 75,420,000 for 2,114,000 MWh generated.</t>
  </si>
  <si>
    <t>5. Gas produced 456,000 CO2 Tonnes — 97% of total emissions. Solar and Nuclear combined produced only 17,210 Tonnes — confirming the environmental case for UAE's clean energy transition.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</si>
</sst>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2"/>
      <name val="Cooper Black"/>
      <family val="1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b/>
      <sz val="18"/>
      <color theme="0"/>
      <name val="Amasis MT Pro Black"/>
      <family val="1"/>
    </font>
    <font>
      <b/>
      <sz val="14"/>
      <color theme="0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3" fontId="0" fillId="0" borderId="0" xfId="0" applyNumberForma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3" fontId="5" fillId="3" borderId="3" xfId="0" applyNumberFormat="1" applyFont="1" applyFill="1" applyBorder="1"/>
    <xf numFmtId="0" fontId="3" fillId="0" borderId="0" xfId="0" applyFont="1"/>
    <xf numFmtId="0" fontId="2" fillId="0" borderId="0" xfId="0" applyFont="1"/>
    <xf numFmtId="4" fontId="0" fillId="0" borderId="0" xfId="0" applyNumberForma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/>
    <xf numFmtId="169" fontId="0" fillId="0" borderId="0" xfId="0" applyNumberFormat="1"/>
    <xf numFmtId="0" fontId="0" fillId="4" borderId="0" xfId="0" applyFill="1"/>
    <xf numFmtId="0" fontId="7" fillId="5" borderId="0" xfId="0" applyFont="1" applyFill="1" applyAlignment="1">
      <alignment horizontal="center"/>
    </xf>
    <xf numFmtId="4" fontId="8" fillId="2" borderId="8" xfId="0" applyNumberFormat="1" applyFont="1" applyFill="1" applyBorder="1"/>
    <xf numFmtId="0" fontId="9" fillId="2" borderId="7" xfId="0" applyFont="1" applyFill="1" applyBorder="1"/>
    <xf numFmtId="0" fontId="9" fillId="2" borderId="9" xfId="0" applyFont="1" applyFill="1" applyBorder="1"/>
  </cellXfs>
  <cellStyles count="1">
    <cellStyle name="Normal" xfId="0" builtinId="0"/>
  </cellStyles>
  <dxfs count="24">
    <dxf>
      <numFmt numFmtId="169" formatCode="0.0"/>
    </dxf>
    <dxf>
      <numFmt numFmtId="169" formatCode="0.0"/>
    </dxf>
    <dxf>
      <numFmt numFmtId="169" formatCode="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19" formatCode="m/d/yyyy"/>
    </dxf>
    <dxf>
      <numFmt numFmtId="19" formatCode="m/d/yyyy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Consumption Trend (MWh)-2023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Pivot_Table_P1!$E$1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Pivot_Table_P1!$D$2:$D$14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Pivot_Table_P1!$E$2:$E$14</c:f>
              <c:numCache>
                <c:formatCode>#,##0</c:formatCode>
                <c:ptCount val="12"/>
                <c:pt idx="0">
                  <c:v>151300</c:v>
                </c:pt>
                <c:pt idx="1">
                  <c:v>145600</c:v>
                </c:pt>
                <c:pt idx="2">
                  <c:v>157500</c:v>
                </c:pt>
                <c:pt idx="3">
                  <c:v>167500</c:v>
                </c:pt>
                <c:pt idx="4">
                  <c:v>182500</c:v>
                </c:pt>
                <c:pt idx="5">
                  <c:v>198500</c:v>
                </c:pt>
                <c:pt idx="6">
                  <c:v>207500</c:v>
                </c:pt>
                <c:pt idx="7">
                  <c:v>203500</c:v>
                </c:pt>
                <c:pt idx="8">
                  <c:v>186500</c:v>
                </c:pt>
                <c:pt idx="9">
                  <c:v>169500</c:v>
                </c:pt>
                <c:pt idx="10">
                  <c:v>154500</c:v>
                </c:pt>
                <c:pt idx="11">
                  <c:v>147500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8-4D21-A103-00B56F57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06624"/>
        <c:axId val="871909984"/>
      </c:lineChart>
      <c:catAx>
        <c:axId val="87190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9984"/>
        <c:crosses val="autoZero"/>
        <c:auto val="1"/>
        <c:lblAlgn val="ctr"/>
        <c:lblOffset val="100"/>
        <c:noMultiLvlLbl val="0"/>
      </c:catAx>
      <c:valAx>
        <c:axId val="87190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Generation</a:t>
            </a:r>
            <a:r>
              <a:rPr lang="en-GB" baseline="0"/>
              <a:t> &amp; Consumption by Region (MWh) -2023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Pivot_Table_P1!$I$1</c:f>
              <c:strCache>
                <c:ptCount val="1"/>
                <c:pt idx="0">
                  <c:v>Sum of Generation_MWh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Pivot_Table_P1!$H$2:$H$5</c:f>
              <c:strCache>
                <c:ptCount val="3"/>
                <c:pt idx="0">
                  <c:v>Abu Dhabi</c:v>
                </c:pt>
                <c:pt idx="1">
                  <c:v>Dubai</c:v>
                </c:pt>
                <c:pt idx="2">
                  <c:v>Sharjah</c:v>
                </c:pt>
              </c:strCache>
            </c:strRef>
          </c:cat>
          <c:val>
            <c:numRef>
              <c:f>Pivot_Table_P1!$I$2:$I$5</c:f>
              <c:numCache>
                <c:formatCode>#,##0</c:formatCode>
                <c:ptCount val="3"/>
                <c:pt idx="0">
                  <c:v>956000</c:v>
                </c:pt>
                <c:pt idx="1">
                  <c:v>855000</c:v>
                </c:pt>
                <c:pt idx="2">
                  <c:v>303000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9-42E4-8887-9E918A66705A}"/>
            </c:ext>
          </c:extLst>
        </c:ser>
        <c:ser>
          <c:idx val="1"/>
          <c:order val="1"/>
          <c:tx>
            <c:strRef>
              <c:f>Pivot_Table_P1!$J$1</c:f>
              <c:strCache>
                <c:ptCount val="1"/>
                <c:pt idx="0">
                  <c:v>Sum of Consumption_MWh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Pivot_Table_P1!$H$2:$H$5</c:f>
              <c:strCache>
                <c:ptCount val="3"/>
                <c:pt idx="0">
                  <c:v>Abu Dhabi</c:v>
                </c:pt>
                <c:pt idx="1">
                  <c:v>Dubai</c:v>
                </c:pt>
                <c:pt idx="2">
                  <c:v>Sharjah</c:v>
                </c:pt>
              </c:strCache>
            </c:strRef>
          </c:cat>
          <c:val>
            <c:numRef>
              <c:f>Pivot_Table_P1!$J$2:$J$5</c:f>
              <c:numCache>
                <c:formatCode>#,##0</c:formatCode>
                <c:ptCount val="3"/>
                <c:pt idx="0">
                  <c:v>938100</c:v>
                </c:pt>
                <c:pt idx="1">
                  <c:v>836800</c:v>
                </c:pt>
                <c:pt idx="2">
                  <c:v>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9-42E4-8887-9E918A66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616960"/>
        <c:axId val="524614560"/>
      </c:barChart>
      <c:catAx>
        <c:axId val="5246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14560"/>
        <c:crosses val="autoZero"/>
        <c:auto val="1"/>
        <c:lblAlgn val="ctr"/>
        <c:lblOffset val="100"/>
        <c:noMultiLvlLbl val="0"/>
      </c:catAx>
      <c:valAx>
        <c:axId val="5246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Generation Mix by Source 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Pivot_Table_P1!$I$8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1F-4A3D-B431-0797FD4C02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1F-4A3D-B431-0797FD4C02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1F-4A3D-B431-0797FD4C02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Pivot_Table_P1!$H$9:$H$12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Pivot_Table_P1!$I$9:$I$12</c:f>
              <c:numCache>
                <c:formatCode>#,##0</c:formatCode>
                <c:ptCount val="3"/>
                <c:pt idx="0">
                  <c:v>912000</c:v>
                </c:pt>
                <c:pt idx="1">
                  <c:v>683000</c:v>
                </c:pt>
                <c:pt idx="2">
                  <c:v>519000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D02-8E87-39DEB1F3BB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Peak Demand (MW)-2023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Pivot_Table_P1!$M$1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Pivot_Table_P1!$L$2:$L$14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Pivot_Table_P1!$M$2:$M$14</c:f>
              <c:numCache>
                <c:formatCode>#,##0</c:formatCode>
                <c:ptCount val="12"/>
                <c:pt idx="0">
                  <c:v>950</c:v>
                </c:pt>
                <c:pt idx="1">
                  <c:v>920</c:v>
                </c:pt>
                <c:pt idx="2">
                  <c:v>970</c:v>
                </c:pt>
                <c:pt idx="3">
                  <c:v>1000</c:v>
                </c:pt>
                <c:pt idx="4">
                  <c:v>1100</c:v>
                </c:pt>
                <c:pt idx="5">
                  <c:v>1280</c:v>
                </c:pt>
                <c:pt idx="6">
                  <c:v>1380</c:v>
                </c:pt>
                <c:pt idx="7">
                  <c:v>1350</c:v>
                </c:pt>
                <c:pt idx="8">
                  <c:v>1200</c:v>
                </c:pt>
                <c:pt idx="9">
                  <c:v>1050</c:v>
                </c:pt>
                <c:pt idx="10">
                  <c:v>960</c:v>
                </c:pt>
                <c:pt idx="11">
                  <c:v>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4-415F-8515-C2438C115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612272"/>
        <c:axId val="1252603632"/>
      </c:lineChart>
      <c:catAx>
        <c:axId val="12526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03632"/>
        <c:crosses val="autoZero"/>
        <c:auto val="1"/>
        <c:lblAlgn val="ctr"/>
        <c:lblOffset val="100"/>
        <c:noMultiLvlLbl val="0"/>
      </c:catAx>
      <c:valAx>
        <c:axId val="12526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1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Consumption Trend (MWh)-2023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Pivot_Table_P1!$E$1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Pivot_Table_P1!$D$2:$D$14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Pivot_Table_P1!$E$2:$E$14</c:f>
              <c:numCache>
                <c:formatCode>#,##0</c:formatCode>
                <c:ptCount val="12"/>
                <c:pt idx="0">
                  <c:v>151300</c:v>
                </c:pt>
                <c:pt idx="1">
                  <c:v>145600</c:v>
                </c:pt>
                <c:pt idx="2">
                  <c:v>157500</c:v>
                </c:pt>
                <c:pt idx="3">
                  <c:v>167500</c:v>
                </c:pt>
                <c:pt idx="4">
                  <c:v>182500</c:v>
                </c:pt>
                <c:pt idx="5">
                  <c:v>198500</c:v>
                </c:pt>
                <c:pt idx="6">
                  <c:v>207500</c:v>
                </c:pt>
                <c:pt idx="7">
                  <c:v>203500</c:v>
                </c:pt>
                <c:pt idx="8">
                  <c:v>186500</c:v>
                </c:pt>
                <c:pt idx="9">
                  <c:v>169500</c:v>
                </c:pt>
                <c:pt idx="10">
                  <c:v>154500</c:v>
                </c:pt>
                <c:pt idx="11">
                  <c:v>147500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6-4A47-A0D0-55A61BB06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06624"/>
        <c:axId val="871909984"/>
      </c:lineChart>
      <c:catAx>
        <c:axId val="87190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9984"/>
        <c:crosses val="autoZero"/>
        <c:auto val="1"/>
        <c:lblAlgn val="ctr"/>
        <c:lblOffset val="100"/>
        <c:noMultiLvlLbl val="0"/>
      </c:catAx>
      <c:valAx>
        <c:axId val="87190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Generation</a:t>
            </a:r>
            <a:r>
              <a:rPr lang="en-GB" baseline="0"/>
              <a:t> &amp; Consumption by Region (MWh) -2023</a:t>
            </a:r>
            <a:endParaRPr lang="en-GB"/>
          </a:p>
        </c:rich>
      </c:tx>
      <c:layout>
        <c:manualLayout>
          <c:xMode val="edge"/>
          <c:yMode val="edge"/>
          <c:x val="0.1651594410027451"/>
          <c:y val="4.907340144360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Pivot_Table_P1!$I$1</c:f>
              <c:strCache>
                <c:ptCount val="1"/>
                <c:pt idx="0">
                  <c:v>Sum of Generation_MWh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Pivot_Table_P1!$H$2:$H$5</c:f>
              <c:strCache>
                <c:ptCount val="3"/>
                <c:pt idx="0">
                  <c:v>Abu Dhabi</c:v>
                </c:pt>
                <c:pt idx="1">
                  <c:v>Dubai</c:v>
                </c:pt>
                <c:pt idx="2">
                  <c:v>Sharjah</c:v>
                </c:pt>
              </c:strCache>
            </c:strRef>
          </c:cat>
          <c:val>
            <c:numRef>
              <c:f>Pivot_Table_P1!$I$2:$I$5</c:f>
              <c:numCache>
                <c:formatCode>#,##0</c:formatCode>
                <c:ptCount val="3"/>
                <c:pt idx="0">
                  <c:v>956000</c:v>
                </c:pt>
                <c:pt idx="1">
                  <c:v>855000</c:v>
                </c:pt>
                <c:pt idx="2">
                  <c:v>303000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4-4B7B-9763-D41FD69F82EA}"/>
            </c:ext>
          </c:extLst>
        </c:ser>
        <c:ser>
          <c:idx val="1"/>
          <c:order val="1"/>
          <c:tx>
            <c:strRef>
              <c:f>Pivot_Table_P1!$J$1</c:f>
              <c:strCache>
                <c:ptCount val="1"/>
                <c:pt idx="0">
                  <c:v>Sum of Consumption_MWh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Pivot_Table_P1!$H$2:$H$5</c:f>
              <c:strCache>
                <c:ptCount val="3"/>
                <c:pt idx="0">
                  <c:v>Abu Dhabi</c:v>
                </c:pt>
                <c:pt idx="1">
                  <c:v>Dubai</c:v>
                </c:pt>
                <c:pt idx="2">
                  <c:v>Sharjah</c:v>
                </c:pt>
              </c:strCache>
            </c:strRef>
          </c:cat>
          <c:val>
            <c:numRef>
              <c:f>Pivot_Table_P1!$J$2:$J$5</c:f>
              <c:numCache>
                <c:formatCode>#,##0</c:formatCode>
                <c:ptCount val="3"/>
                <c:pt idx="0">
                  <c:v>938100</c:v>
                </c:pt>
                <c:pt idx="1">
                  <c:v>836800</c:v>
                </c:pt>
                <c:pt idx="2">
                  <c:v>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4-4B7B-9763-D41FD69F8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616960"/>
        <c:axId val="524614560"/>
      </c:barChart>
      <c:catAx>
        <c:axId val="5246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14560"/>
        <c:crosses val="autoZero"/>
        <c:auto val="1"/>
        <c:lblAlgn val="ctr"/>
        <c:lblOffset val="100"/>
        <c:noMultiLvlLbl val="0"/>
      </c:catAx>
      <c:valAx>
        <c:axId val="5246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Generation Mix by Source 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Pivot_Table_P1!$I$8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F0-42F2-B0F3-328D5BAE72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F0-42F2-B0F3-328D5BAE72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F0-42F2-B0F3-328D5BAE72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Pivot_Table_P1!$H$9:$H$12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Pivot_Table_P1!$I$9:$I$12</c:f>
              <c:numCache>
                <c:formatCode>#,##0</c:formatCode>
                <c:ptCount val="3"/>
                <c:pt idx="0">
                  <c:v>912000</c:v>
                </c:pt>
                <c:pt idx="1">
                  <c:v>683000</c:v>
                </c:pt>
                <c:pt idx="2">
                  <c:v>519000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F0-42F2-B0F3-328D5BAE727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Peak Demand (MW)-2023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Pivot_Table_P1!$M$1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Pivot_Table_P1!$L$2:$L$14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Pivot_Table_P1!$M$2:$M$14</c:f>
              <c:numCache>
                <c:formatCode>#,##0</c:formatCode>
                <c:ptCount val="12"/>
                <c:pt idx="0">
                  <c:v>950</c:v>
                </c:pt>
                <c:pt idx="1">
                  <c:v>920</c:v>
                </c:pt>
                <c:pt idx="2">
                  <c:v>970</c:v>
                </c:pt>
                <c:pt idx="3">
                  <c:v>1000</c:v>
                </c:pt>
                <c:pt idx="4">
                  <c:v>1100</c:v>
                </c:pt>
                <c:pt idx="5">
                  <c:v>1280</c:v>
                </c:pt>
                <c:pt idx="6">
                  <c:v>1380</c:v>
                </c:pt>
                <c:pt idx="7">
                  <c:v>1350</c:v>
                </c:pt>
                <c:pt idx="8">
                  <c:v>1200</c:v>
                </c:pt>
                <c:pt idx="9">
                  <c:v>1050</c:v>
                </c:pt>
                <c:pt idx="10">
                  <c:v>960</c:v>
                </c:pt>
                <c:pt idx="11">
                  <c:v>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9-4796-B4F5-8F9F0253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612272"/>
        <c:axId val="1252603632"/>
      </c:lineChart>
      <c:catAx>
        <c:axId val="12526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03632"/>
        <c:crosses val="autoZero"/>
        <c:auto val="1"/>
        <c:lblAlgn val="ctr"/>
        <c:lblOffset val="100"/>
        <c:noMultiLvlLbl val="0"/>
      </c:catAx>
      <c:valAx>
        <c:axId val="12526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 Factor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Pivot_Table_P2!$E$2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Pivot_Table_P2!$D$3:$D$6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Pivot_Table_P2!$E$3:$E$6</c:f>
              <c:numCache>
                <c:formatCode>0.0</c:formatCode>
                <c:ptCount val="3"/>
                <c:pt idx="0">
                  <c:v>72.708333333333329</c:v>
                </c:pt>
                <c:pt idx="1">
                  <c:v>93.75</c:v>
                </c:pt>
                <c:pt idx="2">
                  <c:v>25.541666666666668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9-43B4-9CC7-5E19E2D079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0486847"/>
        <c:axId val="1700482527"/>
      </c:barChart>
      <c:catAx>
        <c:axId val="170048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82527"/>
        <c:crosses val="autoZero"/>
        <c:auto val="1"/>
        <c:lblAlgn val="ctr"/>
        <c:lblOffset val="100"/>
        <c:noMultiLvlLbl val="0"/>
      </c:catAx>
      <c:valAx>
        <c:axId val="170048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8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Pivot_Table_P2!$H$2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Pivot_Table_P2!$G$3:$G$6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Pivot_Table_P2!$H$3:$H$6</c:f>
              <c:numCache>
                <c:formatCode>General</c:formatCode>
                <c:ptCount val="3"/>
                <c:pt idx="0">
                  <c:v>1290</c:v>
                </c:pt>
                <c:pt idx="1">
                  <c:v>216</c:v>
                </c:pt>
                <c:pt idx="2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0-4DE0-88C9-20EBDFA0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0494047"/>
        <c:axId val="1700497887"/>
      </c:barChart>
      <c:catAx>
        <c:axId val="170049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97887"/>
        <c:crosses val="autoZero"/>
        <c:auto val="1"/>
        <c:lblAlgn val="ctr"/>
        <c:lblOffset val="100"/>
        <c:noMultiLvlLbl val="0"/>
      </c:catAx>
      <c:valAx>
        <c:axId val="17004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Generation</a:t>
            </a:r>
            <a:r>
              <a:rPr lang="en-GB" baseline="0"/>
              <a:t> Output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Pivot_Table_P2!$E$8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Pivot_Table_P2!$D$9:$D$21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Pivot_Table_P2!$E$9:$E$21</c:f>
              <c:numCache>
                <c:formatCode>General</c:formatCode>
                <c:ptCount val="12"/>
                <c:pt idx="0">
                  <c:v>155000</c:v>
                </c:pt>
                <c:pt idx="1">
                  <c:v>149000</c:v>
                </c:pt>
                <c:pt idx="2">
                  <c:v>161000</c:v>
                </c:pt>
                <c:pt idx="3">
                  <c:v>171000</c:v>
                </c:pt>
                <c:pt idx="4">
                  <c:v>186000</c:v>
                </c:pt>
                <c:pt idx="5">
                  <c:v>202000</c:v>
                </c:pt>
                <c:pt idx="6">
                  <c:v>211000</c:v>
                </c:pt>
                <c:pt idx="7">
                  <c:v>207000</c:v>
                </c:pt>
                <c:pt idx="8">
                  <c:v>190000</c:v>
                </c:pt>
                <c:pt idx="9">
                  <c:v>173000</c:v>
                </c:pt>
                <c:pt idx="10">
                  <c:v>158000</c:v>
                </c:pt>
                <c:pt idx="11">
                  <c:v>151000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F-4DB7-BF10-C7623C0FE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465135"/>
        <c:axId val="1740450735"/>
      </c:lineChart>
      <c:catAx>
        <c:axId val="174046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50735"/>
        <c:crosses val="autoZero"/>
        <c:auto val="1"/>
        <c:lblAlgn val="ctr"/>
        <c:lblOffset val="100"/>
        <c:noMultiLvlLbl val="0"/>
      </c:catAx>
      <c:valAx>
        <c:axId val="17404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6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[Faisal_UAE_Energy_PowerPlant_Performance_2023.xlsx]Pivot_Table_P2!PivotTable4</c:name>
    <c:fmtId val="0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Pivot_Table_P2!$H$8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981-4A01-B8CB-33A7296D9FA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981-4A01-B8CB-33A7296D9FA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981-4A01-B8CB-33A7296D9FA5}"/>
              </c:ext>
            </c:extLst>
          </c:dPt>
          <c:cat>
            <c:strRef>
              <c:f>Pivot_Table_P2!$G$9:$G$12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Pivot_Table_P2!$H$9:$H$12</c:f>
              <c:numCache>
                <c:formatCode>General</c:formatCode>
                <c:ptCount val="3"/>
                <c:pt idx="0">
                  <c:v>456000</c:v>
                </c:pt>
                <c:pt idx="1">
                  <c:v>6830</c:v>
                </c:pt>
                <c:pt idx="2">
                  <c:v>10380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E-428E-8362-494C9184E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 Factor by Source (%)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Pivot_Table_P2!$E$2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Pivot_Table_P2!$D$3:$D$6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Pivot_Table_P2!$E$3:$E$6</c:f>
              <c:numCache>
                <c:formatCode>0.0</c:formatCode>
                <c:ptCount val="3"/>
                <c:pt idx="0">
                  <c:v>72.708333333333329</c:v>
                </c:pt>
                <c:pt idx="1">
                  <c:v>93.75</c:v>
                </c:pt>
                <c:pt idx="2">
                  <c:v>25.541666666666668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F-4266-B478-43E9B454E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0486847"/>
        <c:axId val="1700482527"/>
      </c:barChart>
      <c:catAx>
        <c:axId val="170048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82527"/>
        <c:crosses val="autoZero"/>
        <c:auto val="1"/>
        <c:lblAlgn val="ctr"/>
        <c:lblOffset val="100"/>
        <c:noMultiLvlLbl val="0"/>
      </c:catAx>
      <c:valAx>
        <c:axId val="170048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8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</a:t>
            </a:r>
            <a:r>
              <a:rPr lang="en-US" baseline="0"/>
              <a:t> MWh by Source (AED)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Pivot_Table_P2!$H$2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Pivot_Table_P2!$G$3:$G$6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Pivot_Table_P2!$H$3:$H$6</c:f>
              <c:numCache>
                <c:formatCode>General</c:formatCode>
                <c:ptCount val="3"/>
                <c:pt idx="0">
                  <c:v>1290</c:v>
                </c:pt>
                <c:pt idx="1">
                  <c:v>216</c:v>
                </c:pt>
                <c:pt idx="2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9-49DD-820B-FA0BC5D9A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0494047"/>
        <c:axId val="1700497887"/>
      </c:barChart>
      <c:catAx>
        <c:axId val="170049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97887"/>
        <c:crosses val="autoZero"/>
        <c:auto val="1"/>
        <c:lblAlgn val="ctr"/>
        <c:lblOffset val="100"/>
        <c:noMultiLvlLbl val="0"/>
      </c:catAx>
      <c:valAx>
        <c:axId val="17004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Generation</a:t>
            </a:r>
            <a:r>
              <a:rPr lang="en-GB" baseline="0"/>
              <a:t> Output (MWh) - 2023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Pivot_Table_P2!$E$8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Pivot_Table_P2!$D$9:$D$21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Pivot_Table_P2!$E$9:$E$21</c:f>
              <c:numCache>
                <c:formatCode>General</c:formatCode>
                <c:ptCount val="12"/>
                <c:pt idx="0">
                  <c:v>155000</c:v>
                </c:pt>
                <c:pt idx="1">
                  <c:v>149000</c:v>
                </c:pt>
                <c:pt idx="2">
                  <c:v>161000</c:v>
                </c:pt>
                <c:pt idx="3">
                  <c:v>171000</c:v>
                </c:pt>
                <c:pt idx="4">
                  <c:v>186000</c:v>
                </c:pt>
                <c:pt idx="5">
                  <c:v>202000</c:v>
                </c:pt>
                <c:pt idx="6">
                  <c:v>211000</c:v>
                </c:pt>
                <c:pt idx="7">
                  <c:v>207000</c:v>
                </c:pt>
                <c:pt idx="8">
                  <c:v>190000</c:v>
                </c:pt>
                <c:pt idx="9">
                  <c:v>173000</c:v>
                </c:pt>
                <c:pt idx="10">
                  <c:v>158000</c:v>
                </c:pt>
                <c:pt idx="11">
                  <c:v>151000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5-4CDE-8CC6-715C84B50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465135"/>
        <c:axId val="1740450735"/>
      </c:lineChart>
      <c:catAx>
        <c:axId val="174046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50735"/>
        <c:crosses val="autoZero"/>
        <c:auto val="1"/>
        <c:lblAlgn val="ctr"/>
        <c:lblOffset val="100"/>
        <c:noMultiLvlLbl val="0"/>
      </c:catAx>
      <c:valAx>
        <c:axId val="17404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6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[Faisal_UAE_Energy_PowerPlant_Performance_2023.xlsx]Pivot_Table_P2!PivotTable4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  <a:r>
              <a:rPr lang="en-US" baseline="0"/>
              <a:t> Emissions by Source (Tonnes) </a:t>
            </a:r>
          </a:p>
        </c:rich>
      </c:tx>
      <c:layout>
        <c:manualLayout>
          <c:xMode val="edge"/>
          <c:yMode val="edge"/>
          <c:x val="0.1152529761904762"/>
          <c:y val="2.4897880233869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9017857142857129"/>
              <c:y val="-3.5997140636576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903259162917136"/>
              <c:y val="4.31968522059444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567321662917134"/>
                  <c:h val="0.12948199831181911"/>
                </c:manualLayout>
              </c15:layout>
            </c:ext>
          </c:extLst>
        </c:dLbl>
      </c:pivotFmt>
      <c:pivotFmt>
        <c:idx val="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2738095238095222"/>
              <c:y val="2.15982843819461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512849429526009E-2"/>
          <c:y val="0.14435778815988726"/>
          <c:w val="0.69472061727567713"/>
          <c:h val="0.81600710449763103"/>
        </c:manualLayout>
      </c:layout>
      <c:doughnutChart>
        <c:varyColors val="1"/>
        <c:ser>
          <c:idx val="0"/>
          <c:order val="0"/>
          <c:tx>
            <c:strRef>
              <c:f>Pivot_Table_P2!$H$8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58-4372-B526-350A643A2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8-4372-B526-350A643A20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58-4372-B526-350A643A208E}"/>
              </c:ext>
            </c:extLst>
          </c:dPt>
          <c:dLbls>
            <c:dLbl>
              <c:idx val="0"/>
              <c:layout>
                <c:manualLayout>
                  <c:x val="0.29017857142857129"/>
                  <c:y val="-3.599714063657683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58-4372-B526-350A643A208E}"/>
                </c:ext>
              </c:extLst>
            </c:dLbl>
            <c:dLbl>
              <c:idx val="1"/>
              <c:layout>
                <c:manualLayout>
                  <c:x val="-0.19903259162917136"/>
                  <c:y val="4.31968522059444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67321662917134"/>
                      <c:h val="0.129481998311819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8-4372-B526-350A643A208E}"/>
                </c:ext>
              </c:extLst>
            </c:dLbl>
            <c:dLbl>
              <c:idx val="2"/>
              <c:layout>
                <c:manualLayout>
                  <c:x val="0.32738095238095222"/>
                  <c:y val="2.159828438194610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58-4372-B526-350A643A2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Pivot_Table_P2!$G$9:$G$12</c:f>
              <c:strCache>
                <c:ptCount val="3"/>
                <c:pt idx="0">
                  <c:v>Gas</c:v>
                </c:pt>
                <c:pt idx="1">
                  <c:v>Nuclear</c:v>
                </c:pt>
                <c:pt idx="2">
                  <c:v>Solar</c:v>
                </c:pt>
              </c:strCache>
            </c:strRef>
          </c:cat>
          <c:val>
            <c:numRef>
              <c:f>Pivot_Table_P2!$H$9:$H$12</c:f>
              <c:numCache>
                <c:formatCode>General</c:formatCode>
                <c:ptCount val="3"/>
                <c:pt idx="0">
                  <c:v>456000</c:v>
                </c:pt>
                <c:pt idx="1">
                  <c:v>6830</c:v>
                </c:pt>
                <c:pt idx="2">
                  <c:v>10380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58-4372-B526-350A643A20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14</xdr:row>
      <xdr:rowOff>87630</xdr:rowOff>
    </xdr:from>
    <xdr:to>
      <xdr:col>5</xdr:col>
      <xdr:colOff>236220</xdr:colOff>
      <xdr:row>29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E6DF0E-5384-A356-C1C6-9429A48FC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541020</xdr:colOff>
      <xdr:row>13</xdr:row>
      <xdr:rowOff>125730</xdr:rowOff>
    </xdr:from>
    <xdr:to>
      <xdr:col>9</xdr:col>
      <xdr:colOff>701040</xdr:colOff>
      <xdr:row>27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4CC8B-C5C0-52B9-2280-549C463DA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449580</xdr:colOff>
      <xdr:row>27</xdr:row>
      <xdr:rowOff>64770</xdr:rowOff>
    </xdr:from>
    <xdr:to>
      <xdr:col>8</xdr:col>
      <xdr:colOff>1417320</xdr:colOff>
      <xdr:row>37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0F984-A941-779B-BCCA-DCE17375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800100</xdr:colOff>
      <xdr:row>14</xdr:row>
      <xdr:rowOff>26670</xdr:rowOff>
    </xdr:from>
    <xdr:to>
      <xdr:col>13</xdr:col>
      <xdr:colOff>198120</xdr:colOff>
      <xdr:row>27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6D42CE-E942-AF9A-3197-33F691B21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8</xdr:row>
      <xdr:rowOff>0</xdr:rowOff>
    </xdr:from>
    <xdr:to>
      <xdr:col>7</xdr:col>
      <xdr:colOff>548640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0C467-C2BE-400D-91C7-049986C9B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8</xdr:row>
      <xdr:rowOff>7620</xdr:rowOff>
    </xdr:from>
    <xdr:to>
      <xdr:col>15</xdr:col>
      <xdr:colOff>594360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DA7FB-40DB-481F-ABC5-E3AAB8D56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23</xdr:row>
      <xdr:rowOff>0</xdr:rowOff>
    </xdr:from>
    <xdr:to>
      <xdr:col>7</xdr:col>
      <xdr:colOff>556260</xdr:colOff>
      <xdr:row>35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F272AE-74E4-4160-AE88-E4E56948B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</xdr:colOff>
      <xdr:row>23</xdr:row>
      <xdr:rowOff>0</xdr:rowOff>
    </xdr:from>
    <xdr:to>
      <xdr:col>14</xdr:col>
      <xdr:colOff>510540</xdr:colOff>
      <xdr:row>36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F1B552-A886-4D0F-9B09-A09D2C2C6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140970</xdr:rowOff>
    </xdr:from>
    <xdr:to>
      <xdr:col>3</xdr:col>
      <xdr:colOff>800100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98AAC-1D95-2AE8-A81E-D845F295E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21</xdr:row>
      <xdr:rowOff>11430</xdr:rowOff>
    </xdr:from>
    <xdr:to>
      <xdr:col>5</xdr:col>
      <xdr:colOff>693420</xdr:colOff>
      <xdr:row>36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4A0D2-D192-2BE1-B700-9CCCA17C2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712288</xdr:colOff>
      <xdr:row>12</xdr:row>
      <xdr:rowOff>97065</xdr:rowOff>
    </xdr:from>
    <xdr:to>
      <xdr:col>9</xdr:col>
      <xdr:colOff>163649</xdr:colOff>
      <xdr:row>24</xdr:row>
      <xdr:rowOff>152763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702BAC-CD3B-328C-3630-302C6E7F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742406</xdr:colOff>
      <xdr:row>25</xdr:row>
      <xdr:rowOff>79647</xdr:rowOff>
    </xdr:from>
    <xdr:to>
      <xdr:col>8</xdr:col>
      <xdr:colOff>1054463</xdr:colOff>
      <xdr:row>41</xdr:row>
      <xdr:rowOff>60597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03B98D-A0B6-C2DD-4B02-846698574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8</xdr:row>
      <xdr:rowOff>15240</xdr:rowOff>
    </xdr:from>
    <xdr:to>
      <xdr:col>6</xdr:col>
      <xdr:colOff>304800</xdr:colOff>
      <xdr:row>17</xdr:row>
      <xdr:rowOff>129539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BA326-39CF-47D9-BE1D-F3A0DF3DE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754380</xdr:colOff>
      <xdr:row>8</xdr:row>
      <xdr:rowOff>15240</xdr:rowOff>
    </xdr:from>
    <xdr:to>
      <xdr:col>12</xdr:col>
      <xdr:colOff>411480</xdr:colOff>
      <xdr:row>33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39D27-26DE-4489-916E-29C64C7FA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815340</xdr:colOff>
      <xdr:row>18</xdr:row>
      <xdr:rowOff>38100</xdr:rowOff>
    </xdr:from>
    <xdr:to>
      <xdr:col>9</xdr:col>
      <xdr:colOff>670560</xdr:colOff>
      <xdr:row>33</xdr:row>
      <xdr:rowOff>30661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5630E-1353-4A35-8415-53566CD56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403860</xdr:colOff>
      <xdr:row>8</xdr:row>
      <xdr:rowOff>15240</xdr:rowOff>
    </xdr:from>
    <xdr:to>
      <xdr:col>9</xdr:col>
      <xdr:colOff>655320</xdr:colOff>
      <xdr:row>17</xdr:row>
      <xdr:rowOff>121919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904C75-5E14-4C37-B869-C887E0C73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6.607007407409" createdVersion="8" refreshedVersion="8" minRefreshableVersion="3" recordCount="60" xr:uid="{FE3FE311-A24D-4D4C-B1E9-AB9CBC5850AC}">
  <cacheSource type="worksheet">
    <worksheetSource name="EnergyData"/>
  </cacheSource>
  <cacheFields count="13">
    <cacheField name="Month" numFmtId="16">
      <sharedItems containsSemiMixedTypes="0" containsNonDate="0" containsDate="1" containsString="0" minDate="2026-01-23T00:00:00" maxDate="2026-12-24T00:00:00" count="12"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</sharedItems>
      <fieldGroup par="12"/>
    </cacheField>
    <cacheField name="Region" numFmtId="0">
      <sharedItems count="3">
        <s v="Dubai"/>
        <s v="Abu Dhabi"/>
        <s v="Sharjah"/>
      </sharedItems>
    </cacheField>
    <cacheField name="Source" numFmtId="0">
      <sharedItems count="3">
        <s v="Solar"/>
        <s v="Gas"/>
        <s v="Nuclear"/>
      </sharedItems>
    </cacheField>
    <cacheField name="Generation_MWh" numFmtId="0">
      <sharedItems containsSemiMixedTypes="0" containsString="0" containsNumber="1" containsInteger="1" minValue="14000" maxValue="62000"/>
    </cacheField>
    <cacheField name="Consumption_MWh" numFmtId="0">
      <sharedItems containsSemiMixedTypes="0" containsString="0" containsNumber="1" containsInteger="1" minValue="13500" maxValue="61000"/>
    </cacheField>
    <cacheField name="Peak_Demand_MW" numFmtId="0">
      <sharedItems containsSemiMixedTypes="0" containsString="0" containsNumber="1" containsInteger="1" minValue="560" maxValue="1380"/>
    </cacheField>
    <cacheField name="Capacity_Factor_%" numFmtId="0">
      <sharedItems containsSemiMixedTypes="0" containsString="0" containsNumber="1" containsInteger="1" minValue="17" maxValue="96"/>
    </cacheField>
    <cacheField name="Cost_per_MWh" numFmtId="0">
      <sharedItems containsSemiMixedTypes="0" containsString="0" containsNumber="1" containsInteger="1" minValue="18" maxValue="58"/>
    </cacheField>
    <cacheField name="CO2_Tonnes" numFmtId="0">
      <sharedItems containsSemiMixedTypes="0" containsString="0" containsNumber="1" containsInteger="1" minValue="280" maxValue="31000"/>
    </cacheField>
    <cacheField name="Line_Loss_MWh" numFmtId="0">
      <sharedItems containsSemiMixedTypes="0" containsString="0" containsNumber="1" containsInteger="1" minValue="400" maxValue="1000"/>
    </cacheField>
    <cacheField name="Line_Loss_%" numFmtId="0">
      <sharedItems containsSemiMixedTypes="0" containsString="0" containsNumber="1" minValue="1.6129032258064515" maxValue="5.3333333333333339"/>
    </cacheField>
    <cacheField name="Days (Month)" numFmtId="0" databaseField="0">
      <fieldGroup base="0">
        <rangePr groupBy="days" startDate="2026-01-23T00:00:00" endDate="2026-12-24T00:00:00"/>
        <groupItems count="368">
          <s v="&lt;1/23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4/2026"/>
        </groupItems>
      </fieldGroup>
    </cacheField>
    <cacheField name="Months (Month)" numFmtId="0" databaseField="0">
      <fieldGroup base="0">
        <rangePr groupBy="months" startDate="2026-01-23T00:00:00" endDate="2026-12-24T00:00:00"/>
        <groupItems count="14">
          <s v="&lt;1/2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15000"/>
    <n v="14200"/>
    <n v="820"/>
    <n v="18"/>
    <n v="28"/>
    <n v="300"/>
    <n v="800"/>
    <n v="5.3333333333333339"/>
  </r>
  <r>
    <x v="0"/>
    <x v="0"/>
    <x v="1"/>
    <n v="45000"/>
    <n v="44100"/>
    <n v="820"/>
    <n v="68"/>
    <n v="52"/>
    <n v="22500"/>
    <n v="900"/>
    <n v="2"/>
  </r>
  <r>
    <x v="0"/>
    <x v="1"/>
    <x v="0"/>
    <n v="18000"/>
    <n v="17500"/>
    <n v="950"/>
    <n v="20"/>
    <n v="27"/>
    <n v="360"/>
    <n v="500"/>
    <n v="2.7777777777777777"/>
  </r>
  <r>
    <x v="0"/>
    <x v="1"/>
    <x v="2"/>
    <n v="55000"/>
    <n v="54000"/>
    <n v="950"/>
    <n v="92"/>
    <n v="18"/>
    <n v="550"/>
    <n v="1000"/>
    <n v="1.8181818181818181"/>
  </r>
  <r>
    <x v="0"/>
    <x v="2"/>
    <x v="1"/>
    <n v="22000"/>
    <n v="21500"/>
    <n v="580"/>
    <n v="65"/>
    <n v="51"/>
    <n v="11000"/>
    <n v="500"/>
    <n v="2.2727272727272729"/>
  </r>
  <r>
    <x v="1"/>
    <x v="0"/>
    <x v="0"/>
    <n v="14000"/>
    <n v="13500"/>
    <n v="790"/>
    <n v="17"/>
    <n v="28"/>
    <n v="280"/>
    <n v="500"/>
    <n v="3.5714285714285712"/>
  </r>
  <r>
    <x v="1"/>
    <x v="0"/>
    <x v="1"/>
    <n v="43000"/>
    <n v="42000"/>
    <n v="790"/>
    <n v="65"/>
    <n v="52"/>
    <n v="21500"/>
    <n v="1000"/>
    <n v="2.3255813953488373"/>
  </r>
  <r>
    <x v="1"/>
    <x v="1"/>
    <x v="0"/>
    <n v="17000"/>
    <n v="16600"/>
    <n v="920"/>
    <n v="19"/>
    <n v="27"/>
    <n v="340"/>
    <n v="400"/>
    <n v="2.3529411764705883"/>
  </r>
  <r>
    <x v="1"/>
    <x v="1"/>
    <x v="2"/>
    <n v="54000"/>
    <n v="53000"/>
    <n v="920"/>
    <n v="91"/>
    <n v="18"/>
    <n v="540"/>
    <n v="1000"/>
    <n v="1.8518518518518516"/>
  </r>
  <r>
    <x v="1"/>
    <x v="2"/>
    <x v="1"/>
    <n v="21000"/>
    <n v="20500"/>
    <n v="560"/>
    <n v="63"/>
    <n v="51"/>
    <n v="10500"/>
    <n v="500"/>
    <n v="2.3809523809523809"/>
  </r>
  <r>
    <x v="2"/>
    <x v="0"/>
    <x v="0"/>
    <n v="17000"/>
    <n v="16500"/>
    <n v="850"/>
    <n v="21"/>
    <n v="28"/>
    <n v="340"/>
    <n v="500"/>
    <n v="2.9411764705882351"/>
  </r>
  <r>
    <x v="2"/>
    <x v="0"/>
    <x v="1"/>
    <n v="46000"/>
    <n v="45000"/>
    <n v="850"/>
    <n v="69"/>
    <n v="53"/>
    <n v="23000"/>
    <n v="1000"/>
    <n v="2.1739130434782608"/>
  </r>
  <r>
    <x v="2"/>
    <x v="1"/>
    <x v="0"/>
    <n v="19000"/>
    <n v="18500"/>
    <n v="970"/>
    <n v="22"/>
    <n v="27"/>
    <n v="380"/>
    <n v="500"/>
    <n v="2.6315789473684208"/>
  </r>
  <r>
    <x v="2"/>
    <x v="1"/>
    <x v="2"/>
    <n v="56000"/>
    <n v="55000"/>
    <n v="970"/>
    <n v="93"/>
    <n v="18"/>
    <n v="560"/>
    <n v="1000"/>
    <n v="1.7857142857142856"/>
  </r>
  <r>
    <x v="2"/>
    <x v="2"/>
    <x v="1"/>
    <n v="23000"/>
    <n v="22500"/>
    <n v="600"/>
    <n v="67"/>
    <n v="52"/>
    <n v="11500"/>
    <n v="500"/>
    <n v="2.1739130434782608"/>
  </r>
  <r>
    <x v="3"/>
    <x v="0"/>
    <x v="0"/>
    <n v="20000"/>
    <n v="19500"/>
    <n v="900"/>
    <n v="24"/>
    <n v="27"/>
    <n v="400"/>
    <n v="500"/>
    <n v="2.5"/>
  </r>
  <r>
    <x v="3"/>
    <x v="0"/>
    <x v="1"/>
    <n v="48000"/>
    <n v="47000"/>
    <n v="900"/>
    <n v="72"/>
    <n v="53"/>
    <n v="24000"/>
    <n v="1000"/>
    <n v="2.083333333333333"/>
  </r>
  <r>
    <x v="3"/>
    <x v="1"/>
    <x v="0"/>
    <n v="22000"/>
    <n v="21500"/>
    <n v="1000"/>
    <n v="25"/>
    <n v="26"/>
    <n v="440"/>
    <n v="500"/>
    <n v="2.2727272727272729"/>
  </r>
  <r>
    <x v="3"/>
    <x v="1"/>
    <x v="2"/>
    <n v="57000"/>
    <n v="56000"/>
    <n v="1000"/>
    <n v="94"/>
    <n v="18"/>
    <n v="570"/>
    <n v="1000"/>
    <n v="1.7543859649122806"/>
  </r>
  <r>
    <x v="3"/>
    <x v="2"/>
    <x v="1"/>
    <n v="24000"/>
    <n v="23500"/>
    <n v="620"/>
    <n v="69"/>
    <n v="52"/>
    <n v="12000"/>
    <n v="500"/>
    <n v="2.083333333333333"/>
  </r>
  <r>
    <x v="4"/>
    <x v="0"/>
    <x v="0"/>
    <n v="24000"/>
    <n v="23500"/>
    <n v="980"/>
    <n v="29"/>
    <n v="26"/>
    <n v="480"/>
    <n v="500"/>
    <n v="2.083333333333333"/>
  </r>
  <r>
    <x v="4"/>
    <x v="0"/>
    <x v="1"/>
    <n v="52000"/>
    <n v="51000"/>
    <n v="980"/>
    <n v="75"/>
    <n v="54"/>
    <n v="26000"/>
    <n v="1000"/>
    <n v="1.9230769230769231"/>
  </r>
  <r>
    <x v="4"/>
    <x v="1"/>
    <x v="0"/>
    <n v="26000"/>
    <n v="25500"/>
    <n v="1100"/>
    <n v="30"/>
    <n v="26"/>
    <n v="520"/>
    <n v="500"/>
    <n v="1.9230769230769231"/>
  </r>
  <r>
    <x v="4"/>
    <x v="1"/>
    <x v="2"/>
    <n v="58000"/>
    <n v="57000"/>
    <n v="1100"/>
    <n v="95"/>
    <n v="18"/>
    <n v="580"/>
    <n v="1000"/>
    <n v="1.7241379310344827"/>
  </r>
  <r>
    <x v="4"/>
    <x v="2"/>
    <x v="1"/>
    <n v="26000"/>
    <n v="25500"/>
    <n v="680"/>
    <n v="72"/>
    <n v="53"/>
    <n v="13000"/>
    <n v="500"/>
    <n v="1.9230769230769231"/>
  </r>
  <r>
    <x v="5"/>
    <x v="0"/>
    <x v="0"/>
    <n v="27000"/>
    <n v="26500"/>
    <n v="1150"/>
    <n v="32"/>
    <n v="26"/>
    <n v="540"/>
    <n v="500"/>
    <n v="1.8518518518518516"/>
  </r>
  <r>
    <x v="5"/>
    <x v="0"/>
    <x v="1"/>
    <n v="58000"/>
    <n v="57000"/>
    <n v="1150"/>
    <n v="82"/>
    <n v="56"/>
    <n v="29000"/>
    <n v="1000"/>
    <n v="1.7241379310344827"/>
  </r>
  <r>
    <x v="5"/>
    <x v="1"/>
    <x v="0"/>
    <n v="29000"/>
    <n v="28500"/>
    <n v="1280"/>
    <n v="34"/>
    <n v="25"/>
    <n v="580"/>
    <n v="500"/>
    <n v="1.7241379310344827"/>
  </r>
  <r>
    <x v="5"/>
    <x v="1"/>
    <x v="2"/>
    <n v="59000"/>
    <n v="58000"/>
    <n v="1280"/>
    <n v="96"/>
    <n v="18"/>
    <n v="590"/>
    <n v="1000"/>
    <n v="1.6949152542372881"/>
  </r>
  <r>
    <x v="5"/>
    <x v="2"/>
    <x v="1"/>
    <n v="29000"/>
    <n v="28500"/>
    <n v="780"/>
    <n v="78"/>
    <n v="55"/>
    <n v="14500"/>
    <n v="500"/>
    <n v="1.7241379310344827"/>
  </r>
  <r>
    <x v="6"/>
    <x v="0"/>
    <x v="0"/>
    <n v="28000"/>
    <n v="27500"/>
    <n v="1250"/>
    <n v="33"/>
    <n v="26"/>
    <n v="560"/>
    <n v="500"/>
    <n v="1.7857142857142856"/>
  </r>
  <r>
    <x v="6"/>
    <x v="0"/>
    <x v="1"/>
    <n v="62000"/>
    <n v="61000"/>
    <n v="1250"/>
    <n v="88"/>
    <n v="58"/>
    <n v="31000"/>
    <n v="1000"/>
    <n v="1.6129032258064515"/>
  </r>
  <r>
    <x v="6"/>
    <x v="1"/>
    <x v="0"/>
    <n v="30000"/>
    <n v="29500"/>
    <n v="1380"/>
    <n v="36"/>
    <n v="25"/>
    <n v="600"/>
    <n v="500"/>
    <n v="1.6666666666666667"/>
  </r>
  <r>
    <x v="6"/>
    <x v="1"/>
    <x v="2"/>
    <n v="60000"/>
    <n v="59000"/>
    <n v="1380"/>
    <n v="96"/>
    <n v="18"/>
    <n v="600"/>
    <n v="1000"/>
    <n v="1.6666666666666667"/>
  </r>
  <r>
    <x v="6"/>
    <x v="2"/>
    <x v="1"/>
    <n v="31000"/>
    <n v="30500"/>
    <n v="850"/>
    <n v="82"/>
    <n v="57"/>
    <n v="15500"/>
    <n v="500"/>
    <n v="1.6129032258064515"/>
  </r>
  <r>
    <x v="7"/>
    <x v="0"/>
    <x v="0"/>
    <n v="27000"/>
    <n v="26500"/>
    <n v="1230"/>
    <n v="32"/>
    <n v="26"/>
    <n v="540"/>
    <n v="500"/>
    <n v="1.8518518518518516"/>
  </r>
  <r>
    <x v="7"/>
    <x v="0"/>
    <x v="1"/>
    <n v="61000"/>
    <n v="60000"/>
    <n v="1230"/>
    <n v="87"/>
    <n v="58"/>
    <n v="30500"/>
    <n v="1000"/>
    <n v="1.639344262295082"/>
  </r>
  <r>
    <x v="7"/>
    <x v="1"/>
    <x v="0"/>
    <n v="29000"/>
    <n v="28500"/>
    <n v="1350"/>
    <n v="35"/>
    <n v="25"/>
    <n v="580"/>
    <n v="500"/>
    <n v="1.7241379310344827"/>
  </r>
  <r>
    <x v="7"/>
    <x v="1"/>
    <x v="2"/>
    <n v="60000"/>
    <n v="59000"/>
    <n v="1350"/>
    <n v="96"/>
    <n v="18"/>
    <n v="600"/>
    <n v="1000"/>
    <n v="1.6666666666666667"/>
  </r>
  <r>
    <x v="7"/>
    <x v="2"/>
    <x v="1"/>
    <n v="30000"/>
    <n v="29500"/>
    <n v="830"/>
    <n v="80"/>
    <n v="57"/>
    <n v="15000"/>
    <n v="500"/>
    <n v="1.6666666666666667"/>
  </r>
  <r>
    <x v="8"/>
    <x v="0"/>
    <x v="0"/>
    <n v="24000"/>
    <n v="23500"/>
    <n v="1100"/>
    <n v="29"/>
    <n v="27"/>
    <n v="480"/>
    <n v="500"/>
    <n v="2.083333333333333"/>
  </r>
  <r>
    <x v="8"/>
    <x v="0"/>
    <x v="1"/>
    <n v="55000"/>
    <n v="54000"/>
    <n v="1100"/>
    <n v="79"/>
    <n v="56"/>
    <n v="27500"/>
    <n v="1000"/>
    <n v="1.8181818181818181"/>
  </r>
  <r>
    <x v="8"/>
    <x v="1"/>
    <x v="0"/>
    <n v="26000"/>
    <n v="25500"/>
    <n v="1200"/>
    <n v="30"/>
    <n v="26"/>
    <n v="520"/>
    <n v="500"/>
    <n v="1.9230769230769231"/>
  </r>
  <r>
    <x v="8"/>
    <x v="1"/>
    <x v="2"/>
    <n v="58000"/>
    <n v="57000"/>
    <n v="1200"/>
    <n v="95"/>
    <n v="18"/>
    <n v="580"/>
    <n v="1000"/>
    <n v="1.7241379310344827"/>
  </r>
  <r>
    <x v="8"/>
    <x v="2"/>
    <x v="1"/>
    <n v="27000"/>
    <n v="26500"/>
    <n v="720"/>
    <n v="74"/>
    <n v="55"/>
    <n v="13500"/>
    <n v="500"/>
    <n v="1.8518518518518516"/>
  </r>
  <r>
    <x v="9"/>
    <x v="0"/>
    <x v="0"/>
    <n v="20000"/>
    <n v="19500"/>
    <n v="950"/>
    <n v="24"/>
    <n v="27"/>
    <n v="400"/>
    <n v="500"/>
    <n v="2.5"/>
  </r>
  <r>
    <x v="9"/>
    <x v="0"/>
    <x v="1"/>
    <n v="49000"/>
    <n v="48000"/>
    <n v="950"/>
    <n v="73"/>
    <n v="54"/>
    <n v="24500"/>
    <n v="1000"/>
    <n v="2.0408163265306123"/>
  </r>
  <r>
    <x v="9"/>
    <x v="1"/>
    <x v="0"/>
    <n v="22000"/>
    <n v="21500"/>
    <n v="1050"/>
    <n v="26"/>
    <n v="26"/>
    <n v="440"/>
    <n v="500"/>
    <n v="2.2727272727272729"/>
  </r>
  <r>
    <x v="9"/>
    <x v="1"/>
    <x v="2"/>
    <n v="57000"/>
    <n v="56000"/>
    <n v="1050"/>
    <n v="94"/>
    <n v="18"/>
    <n v="570"/>
    <n v="1000"/>
    <n v="1.7543859649122806"/>
  </r>
  <r>
    <x v="9"/>
    <x v="2"/>
    <x v="1"/>
    <n v="25000"/>
    <n v="24500"/>
    <n v="650"/>
    <n v="70"/>
    <n v="53"/>
    <n v="12500"/>
    <n v="500"/>
    <n v="2"/>
  </r>
  <r>
    <x v="10"/>
    <x v="0"/>
    <x v="0"/>
    <n v="16000"/>
    <n v="15500"/>
    <n v="880"/>
    <n v="19"/>
    <n v="28"/>
    <n v="320"/>
    <n v="500"/>
    <n v="3.125"/>
  </r>
  <r>
    <x v="10"/>
    <x v="0"/>
    <x v="1"/>
    <n v="46000"/>
    <n v="45000"/>
    <n v="880"/>
    <n v="70"/>
    <n v="53"/>
    <n v="23000"/>
    <n v="1000"/>
    <n v="2.1739130434782608"/>
  </r>
  <r>
    <x v="10"/>
    <x v="1"/>
    <x v="0"/>
    <n v="18000"/>
    <n v="17500"/>
    <n v="960"/>
    <n v="21"/>
    <n v="27"/>
    <n v="360"/>
    <n v="500"/>
    <n v="2.7777777777777777"/>
  </r>
  <r>
    <x v="10"/>
    <x v="1"/>
    <x v="2"/>
    <n v="55000"/>
    <n v="54000"/>
    <n v="960"/>
    <n v="92"/>
    <n v="18"/>
    <n v="550"/>
    <n v="1000"/>
    <n v="1.8181818181818181"/>
  </r>
  <r>
    <x v="10"/>
    <x v="2"/>
    <x v="1"/>
    <n v="23000"/>
    <n v="22500"/>
    <n v="600"/>
    <n v="66"/>
    <n v="52"/>
    <n v="11500"/>
    <n v="500"/>
    <n v="2.1739130434782608"/>
  </r>
  <r>
    <x v="11"/>
    <x v="0"/>
    <x v="0"/>
    <n v="14000"/>
    <n v="13500"/>
    <n v="830"/>
    <n v="17"/>
    <n v="28"/>
    <n v="280"/>
    <n v="500"/>
    <n v="3.5714285714285712"/>
  </r>
  <r>
    <x v="11"/>
    <x v="0"/>
    <x v="1"/>
    <n v="44000"/>
    <n v="43000"/>
    <n v="830"/>
    <n v="67"/>
    <n v="52"/>
    <n v="22000"/>
    <n v="1000"/>
    <n v="2.2727272727272729"/>
  </r>
  <r>
    <x v="11"/>
    <x v="1"/>
    <x v="0"/>
    <n v="17000"/>
    <n v="16500"/>
    <n v="930"/>
    <n v="20"/>
    <n v="27"/>
    <n v="340"/>
    <n v="500"/>
    <n v="2.9411764705882351"/>
  </r>
  <r>
    <x v="11"/>
    <x v="1"/>
    <x v="2"/>
    <n v="54000"/>
    <n v="53000"/>
    <n v="930"/>
    <n v="91"/>
    <n v="18"/>
    <n v="540"/>
    <n v="1000"/>
    <n v="1.8518518518518516"/>
  </r>
  <r>
    <x v="11"/>
    <x v="2"/>
    <x v="1"/>
    <n v="22000"/>
    <n v="21500"/>
    <n v="580"/>
    <n v="64"/>
    <n v="51"/>
    <n v="11000"/>
    <n v="500"/>
    <n v="2.27272727272727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6AF3F-DAF3-43D5-A5F8-677DD6956E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:E14" firstHeaderRow="1" firstDataRow="1" firstDataCol="1"/>
  <pivotFields count="13">
    <pivotField axis="axisRow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nsumption_MWh" fld="4" baseField="0" baseItem="0" numFmtId="3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805A7-ABEE-41E3-AB81-2C1CD72916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:M14" firstHeaderRow="1" firstDataRow="1" firstDataCol="1"/>
  <pivotFields count="13">
    <pivotField axis="axisRow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2"/>
    <field x="11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ax of Peak_Demand_MW" fld="5" subtotal="max" baseField="12" baseItem="1" numFmtId="3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01B2B-981D-4415-9018-91414A89DD0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8:I12" firstHeaderRow="1" firstDataRow="1" firstDataCol="1"/>
  <pivotFields count="13">
    <pivotField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eneration_MWh" fld="3" baseField="0" baseItem="0" numFmtId="3"/>
  </dataFields>
  <formats count="1">
    <format dxfId="5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64D48-C6FC-4A9B-8C6D-52A5090C78E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:J5" firstHeaderRow="0" firstDataRow="1" firstDataCol="1"/>
  <pivotFields count="13">
    <pivotField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eneration_MWh" fld="3" baseField="0" baseItem="0" numFmtId="3"/>
    <dataField name="Sum of Consumption_MWh" fld="4" baseField="0" baseItem="0" numFmtId="3"/>
  </dataFields>
  <formats count="3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8C456-7AD1-4A01-86CE-114D6F955C8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8:H12" firstHeaderRow="1" firstDataRow="1" firstDataCol="1"/>
  <pivotFields count="13">
    <pivotField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2_Tonnes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C10F2-1F46-427F-9E8C-5BEEB89E9E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8:E21" firstHeaderRow="1" firstDataRow="1" firstDataCol="1"/>
  <pivotFields count="13">
    <pivotField axis="axisRow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2"/>
    <field x="11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Generation_MWh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53069-96FD-4F5E-BACC-505D1F93F1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:H6" firstHeaderRow="1" firstDataRow="1" firstDataCol="1"/>
  <pivotFields count="13">
    <pivotField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st_per_MWh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D5FAE-3ECC-4B25-9275-15E396B6FA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E6" firstHeaderRow="1" firstDataRow="1" firstDataCol="1"/>
  <pivotFields count="13">
    <pivotField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apacity_Factor_%" fld="6" subtotal="average" baseField="2" baseItem="0"/>
  </dataFields>
  <formats count="3">
    <format dxfId="0">
      <pivotArea collapsedLevelsAreSubtotals="1" fieldPosition="0">
        <references count="1">
          <reference field="2" count="1">
            <x v="0"/>
          </reference>
        </references>
      </pivotArea>
    </format>
    <format dxfId="1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F373C-8A50-4BC4-8216-E773A744410C}" name="EnergyData" displayName="EnergyData" ref="A1:K61" totalsRowShown="0" headerRowDxfId="23" dataDxfId="22">
  <autoFilter ref="A1:K61" xr:uid="{6FAF373C-8A50-4BC4-8216-E773A744410C}"/>
  <tableColumns count="11">
    <tableColumn id="1" xr3:uid="{FF80EE8A-B70D-4723-BF6B-197C4BC681EF}" name="Month" dataDxfId="21"/>
    <tableColumn id="2" xr3:uid="{42DD316E-8761-467C-ADFC-6831343DD15C}" name="Region" dataDxfId="20"/>
    <tableColumn id="3" xr3:uid="{74A7F2F0-DF36-4866-AF45-FCE60E1E9550}" name="Source" dataDxfId="19"/>
    <tableColumn id="4" xr3:uid="{0B00FCF3-9D1B-458C-AE60-FB74D73FF365}" name="Generation_MWh" dataDxfId="18"/>
    <tableColumn id="5" xr3:uid="{38D5C777-B279-4B35-B7EF-C9B3806B359C}" name="Consumption_MWh" dataDxfId="17"/>
    <tableColumn id="6" xr3:uid="{380F5A6C-E3DC-480B-AEF7-E8264A86AEFC}" name="Peak_Demand_MW" dataDxfId="16"/>
    <tableColumn id="7" xr3:uid="{23C09F56-40AC-46FA-A31F-616CFEDADC97}" name="Capacity_Factor_%" dataDxfId="15"/>
    <tableColumn id="8" xr3:uid="{CD450F4B-8867-47C0-8F71-FAF1A3A7CEA2}" name="Cost_per_MWh" dataDxfId="14"/>
    <tableColumn id="9" xr3:uid="{6BE605A2-E230-4075-9C6F-749F48344DB3}" name="CO2_Tonnes" dataDxfId="13"/>
    <tableColumn id="10" xr3:uid="{CE682E1B-78D0-451F-AE5B-EA4B5B01B0EC}" name="Line_Loss_MWh" dataDxfId="12">
      <calculatedColumnFormula>EnergyData[[#This Row],[Generation_MWh]]-EnergyData[[#This Row],[Consumption_MWh]]</calculatedColumnFormula>
    </tableColumn>
    <tableColumn id="11" xr3:uid="{0B2C4DE0-F404-4AEE-A2B8-5CE62480F23A}" name="Line_Loss_%" dataDxfId="11">
      <calculatedColumnFormula>EnergyData[[#This Row],[Line_Loss_MWh]]/EnergyData[[#This Row],[Generation_MWh]]*100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4D47C-BA84-4486-88C8-6E5A31919E2C}" name="Table2" displayName="Table2" ref="A3:K27" totalsRowShown="0">
  <autoFilter ref="A3:K27" xr:uid="{7624D47C-BA84-4486-88C8-6E5A31919E2C}"/>
  <tableColumns count="11">
    <tableColumn id="1" xr3:uid="{201E4D96-6515-4EFE-B0C0-C436B73FFBAC}" name="Month" dataDxfId="10"/>
    <tableColumn id="2" xr3:uid="{2D57846D-4B4C-47FF-8A66-211CD4D64E8B}" name="Region"/>
    <tableColumn id="3" xr3:uid="{B4D45555-36D2-47BF-B63D-42D7E1F268BC}" name="Source"/>
    <tableColumn id="4" xr3:uid="{2DE9BF9E-9A69-46A9-B663-210C9535029B}" name="Generation_MWh"/>
    <tableColumn id="5" xr3:uid="{FE730CD4-6D05-4DB0-B386-DDB03FFB6738}" name="Consumption_MWh"/>
    <tableColumn id="6" xr3:uid="{98ADD94A-ADC0-471C-BCA1-6B0E999483ED}" name="Peak_Demand_MW"/>
    <tableColumn id="7" xr3:uid="{9533BD89-E4E2-4B53-87B1-723C99F467D0}" name="Capacity_Factor_%"/>
    <tableColumn id="8" xr3:uid="{BF3E4EEE-F134-405F-B5FB-43DC09475988}" name="Cost_per_MWh"/>
    <tableColumn id="9" xr3:uid="{A554EBF9-19C4-4DAA-853B-EFB647D9B9AD}" name="CO2_Tonnes"/>
    <tableColumn id="10" xr3:uid="{3A187BA9-F894-45A3-936F-9DEA0C562013}" name="Line_Loss_MWh"/>
    <tableColumn id="11" xr3:uid="{9C660FC7-D190-4945-9A96-BF72357A1033}" name="Line_Loss_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FC730E-4DEC-46EB-B2D7-3185ECE28C45}" name="Table3" displayName="Table3" ref="A3:K27" totalsRowShown="0">
  <autoFilter ref="A3:K27" xr:uid="{84FC730E-4DEC-46EB-B2D7-3185ECE28C45}"/>
  <tableColumns count="11">
    <tableColumn id="1" xr3:uid="{3B4A4F41-F905-427E-930A-FC5FF7F4F772}" name="Month" dataDxfId="9"/>
    <tableColumn id="2" xr3:uid="{F77C82AC-1B2C-468E-99D9-9B6F43BE5330}" name="Region"/>
    <tableColumn id="3" xr3:uid="{35CAC7AE-493F-4DF4-837C-F137BE269BD7}" name="Source"/>
    <tableColumn id="4" xr3:uid="{A1F65F52-29C7-4CB1-AA6E-29D4FAF4E49A}" name="Generation_MWh"/>
    <tableColumn id="5" xr3:uid="{6026A5E5-E7D5-4660-BA41-F07A5D3A0428}" name="Consumption_MWh"/>
    <tableColumn id="6" xr3:uid="{6577B4FA-3B96-4C8F-80C3-91F0D235BEBC}" name="Peak_Demand_MW"/>
    <tableColumn id="7" xr3:uid="{52785B7B-AAF8-433E-9075-626F3C9A48D3}" name="Capacity_Factor_%"/>
    <tableColumn id="8" xr3:uid="{5665CF92-9A18-4764-BDFB-2DD877790ED0}" name="Cost_per_MWh"/>
    <tableColumn id="9" xr3:uid="{B194C6D5-1F20-47E5-99E0-97082A3E224E}" name="CO2_Tonnes"/>
    <tableColumn id="10" xr3:uid="{9A231379-748B-48F6-A498-58408AA0FE24}" name="Line_Loss_MWh"/>
    <tableColumn id="11" xr3:uid="{99A7440E-201D-4077-99F0-412142D19531}" name="Line_Loss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F024-DB25-4337-88DC-7971A5BDAA81}">
  <dimension ref="A1:I61"/>
  <sheetViews>
    <sheetView workbookViewId="0">
      <selection activeCell="C5" sqref="A1:I61"/>
    </sheetView>
  </sheetViews>
  <sheetFormatPr defaultColWidth="15.21875" defaultRowHeight="14.4" x14ac:dyDescent="0.3"/>
  <sheetData>
    <row r="1" spans="1:9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46045</v>
      </c>
      <c r="B2" s="4" t="s">
        <v>9</v>
      </c>
      <c r="C2" s="4" t="s">
        <v>10</v>
      </c>
      <c r="D2" s="4">
        <v>15000</v>
      </c>
      <c r="E2" s="4">
        <v>14200</v>
      </c>
      <c r="F2" s="4">
        <v>820</v>
      </c>
      <c r="G2" s="4">
        <v>18</v>
      </c>
      <c r="H2" s="4">
        <v>28</v>
      </c>
      <c r="I2" s="4">
        <v>300</v>
      </c>
    </row>
    <row r="3" spans="1:9" x14ac:dyDescent="0.3">
      <c r="A3" s="3">
        <v>46045</v>
      </c>
      <c r="B3" s="4" t="s">
        <v>9</v>
      </c>
      <c r="C3" s="4" t="s">
        <v>11</v>
      </c>
      <c r="D3" s="4">
        <v>45000</v>
      </c>
      <c r="E3" s="4">
        <v>44100</v>
      </c>
      <c r="F3" s="4">
        <v>820</v>
      </c>
      <c r="G3" s="4">
        <v>68</v>
      </c>
      <c r="H3" s="4">
        <v>52</v>
      </c>
      <c r="I3" s="4">
        <v>22500</v>
      </c>
    </row>
    <row r="4" spans="1:9" ht="28.8" x14ac:dyDescent="0.3">
      <c r="A4" s="3">
        <v>46045</v>
      </c>
      <c r="B4" s="4" t="s">
        <v>12</v>
      </c>
      <c r="C4" s="4" t="s">
        <v>10</v>
      </c>
      <c r="D4" s="4">
        <v>18000</v>
      </c>
      <c r="E4" s="4">
        <v>17500</v>
      </c>
      <c r="F4" s="4">
        <v>950</v>
      </c>
      <c r="G4" s="4">
        <v>20</v>
      </c>
      <c r="H4" s="4">
        <v>27</v>
      </c>
      <c r="I4" s="4">
        <v>360</v>
      </c>
    </row>
    <row r="5" spans="1:9" ht="28.8" x14ac:dyDescent="0.3">
      <c r="A5" s="3">
        <v>46045</v>
      </c>
      <c r="B5" s="4" t="s">
        <v>12</v>
      </c>
      <c r="C5" s="4" t="s">
        <v>14</v>
      </c>
      <c r="D5" s="4">
        <v>55000</v>
      </c>
      <c r="E5" s="4">
        <v>54000</v>
      </c>
      <c r="F5" s="4">
        <v>950</v>
      </c>
      <c r="G5" s="4">
        <v>92</v>
      </c>
      <c r="H5" s="4">
        <v>18</v>
      </c>
      <c r="I5" s="4">
        <v>550</v>
      </c>
    </row>
    <row r="6" spans="1:9" x14ac:dyDescent="0.3">
      <c r="A6" s="3">
        <v>46045</v>
      </c>
      <c r="B6" s="4" t="s">
        <v>13</v>
      </c>
      <c r="C6" s="4" t="s">
        <v>11</v>
      </c>
      <c r="D6" s="4">
        <v>22000</v>
      </c>
      <c r="E6" s="4">
        <v>21500</v>
      </c>
      <c r="F6" s="4">
        <v>580</v>
      </c>
      <c r="G6" s="4">
        <v>65</v>
      </c>
      <c r="H6" s="4">
        <v>51</v>
      </c>
      <c r="I6" s="4">
        <v>11000</v>
      </c>
    </row>
    <row r="7" spans="1:9" x14ac:dyDescent="0.3">
      <c r="A7" s="3">
        <v>46076</v>
      </c>
      <c r="B7" s="4" t="s">
        <v>9</v>
      </c>
      <c r="C7" s="4" t="s">
        <v>10</v>
      </c>
      <c r="D7" s="4">
        <v>14000</v>
      </c>
      <c r="E7" s="4">
        <v>13500</v>
      </c>
      <c r="F7" s="4">
        <v>790</v>
      </c>
      <c r="G7" s="4">
        <v>17</v>
      </c>
      <c r="H7" s="4">
        <v>28</v>
      </c>
      <c r="I7" s="4">
        <v>280</v>
      </c>
    </row>
    <row r="8" spans="1:9" x14ac:dyDescent="0.3">
      <c r="A8" s="3">
        <v>46076</v>
      </c>
      <c r="B8" s="4" t="s">
        <v>9</v>
      </c>
      <c r="C8" s="4" t="s">
        <v>11</v>
      </c>
      <c r="D8" s="4">
        <v>43000</v>
      </c>
      <c r="E8" s="4">
        <v>42000</v>
      </c>
      <c r="F8" s="4">
        <v>790</v>
      </c>
      <c r="G8" s="4">
        <v>65</v>
      </c>
      <c r="H8" s="4">
        <v>52</v>
      </c>
      <c r="I8" s="4">
        <v>21500</v>
      </c>
    </row>
    <row r="9" spans="1:9" ht="28.8" x14ac:dyDescent="0.3">
      <c r="A9" s="3">
        <v>46076</v>
      </c>
      <c r="B9" s="4" t="s">
        <v>12</v>
      </c>
      <c r="C9" s="4" t="s">
        <v>10</v>
      </c>
      <c r="D9" s="4">
        <v>17000</v>
      </c>
      <c r="E9" s="4">
        <v>16600</v>
      </c>
      <c r="F9" s="4">
        <v>920</v>
      </c>
      <c r="G9" s="4">
        <v>19</v>
      </c>
      <c r="H9" s="4">
        <v>27</v>
      </c>
      <c r="I9" s="4">
        <v>340</v>
      </c>
    </row>
    <row r="10" spans="1:9" ht="28.8" x14ac:dyDescent="0.3">
      <c r="A10" s="3">
        <v>46076</v>
      </c>
      <c r="B10" s="4" t="s">
        <v>12</v>
      </c>
      <c r="C10" s="4" t="s">
        <v>14</v>
      </c>
      <c r="D10" s="4">
        <v>54000</v>
      </c>
      <c r="E10" s="4">
        <v>53000</v>
      </c>
      <c r="F10" s="4">
        <v>920</v>
      </c>
      <c r="G10" s="4">
        <v>91</v>
      </c>
      <c r="H10" s="4">
        <v>18</v>
      </c>
      <c r="I10" s="4">
        <v>540</v>
      </c>
    </row>
    <row r="11" spans="1:9" x14ac:dyDescent="0.3">
      <c r="A11" s="3">
        <v>46076</v>
      </c>
      <c r="B11" s="4" t="s">
        <v>13</v>
      </c>
      <c r="C11" s="4" t="s">
        <v>11</v>
      </c>
      <c r="D11" s="4">
        <v>21000</v>
      </c>
      <c r="E11" s="4">
        <v>20500</v>
      </c>
      <c r="F11" s="4">
        <v>560</v>
      </c>
      <c r="G11" s="4">
        <v>63</v>
      </c>
      <c r="H11" s="4">
        <v>51</v>
      </c>
      <c r="I11" s="4">
        <v>10500</v>
      </c>
    </row>
    <row r="12" spans="1:9" x14ac:dyDescent="0.3">
      <c r="A12" s="3">
        <v>46104</v>
      </c>
      <c r="B12" s="4" t="s">
        <v>9</v>
      </c>
      <c r="C12" s="4" t="s">
        <v>10</v>
      </c>
      <c r="D12" s="4">
        <v>17000</v>
      </c>
      <c r="E12" s="4">
        <v>16500</v>
      </c>
      <c r="F12" s="4">
        <v>850</v>
      </c>
      <c r="G12" s="4">
        <v>21</v>
      </c>
      <c r="H12" s="4">
        <v>28</v>
      </c>
      <c r="I12" s="4">
        <v>340</v>
      </c>
    </row>
    <row r="13" spans="1:9" x14ac:dyDescent="0.3">
      <c r="A13" s="3">
        <v>46104</v>
      </c>
      <c r="B13" s="4" t="s">
        <v>9</v>
      </c>
      <c r="C13" s="4" t="s">
        <v>11</v>
      </c>
      <c r="D13" s="4">
        <v>46000</v>
      </c>
      <c r="E13" s="4">
        <v>45000</v>
      </c>
      <c r="F13" s="4">
        <v>850</v>
      </c>
      <c r="G13" s="4">
        <v>69</v>
      </c>
      <c r="H13" s="4">
        <v>53</v>
      </c>
      <c r="I13" s="4">
        <v>23000</v>
      </c>
    </row>
    <row r="14" spans="1:9" ht="28.8" x14ac:dyDescent="0.3">
      <c r="A14" s="3">
        <v>46104</v>
      </c>
      <c r="B14" s="4" t="s">
        <v>12</v>
      </c>
      <c r="C14" s="4" t="s">
        <v>10</v>
      </c>
      <c r="D14" s="4">
        <v>19000</v>
      </c>
      <c r="E14" s="4">
        <v>18500</v>
      </c>
      <c r="F14" s="4">
        <v>970</v>
      </c>
      <c r="G14" s="4">
        <v>22</v>
      </c>
      <c r="H14" s="4">
        <v>27</v>
      </c>
      <c r="I14" s="4">
        <v>380</v>
      </c>
    </row>
    <row r="15" spans="1:9" ht="28.8" x14ac:dyDescent="0.3">
      <c r="A15" s="3">
        <v>46104</v>
      </c>
      <c r="B15" s="4" t="s">
        <v>12</v>
      </c>
      <c r="C15" s="4" t="s">
        <v>14</v>
      </c>
      <c r="D15" s="4">
        <v>56000</v>
      </c>
      <c r="E15" s="4">
        <v>55000</v>
      </c>
      <c r="F15" s="4">
        <v>970</v>
      </c>
      <c r="G15" s="4">
        <v>93</v>
      </c>
      <c r="H15" s="4">
        <v>18</v>
      </c>
      <c r="I15" s="4">
        <v>560</v>
      </c>
    </row>
    <row r="16" spans="1:9" x14ac:dyDescent="0.3">
      <c r="A16" s="3">
        <v>46104</v>
      </c>
      <c r="B16" s="4" t="s">
        <v>13</v>
      </c>
      <c r="C16" s="4" t="s">
        <v>11</v>
      </c>
      <c r="D16" s="4">
        <v>23000</v>
      </c>
      <c r="E16" s="4">
        <v>22500</v>
      </c>
      <c r="F16" s="4">
        <v>600</v>
      </c>
      <c r="G16" s="4">
        <v>67</v>
      </c>
      <c r="H16" s="4">
        <v>52</v>
      </c>
      <c r="I16" s="4">
        <v>11500</v>
      </c>
    </row>
    <row r="17" spans="1:9" x14ac:dyDescent="0.3">
      <c r="A17" s="3">
        <v>46135</v>
      </c>
      <c r="B17" s="4" t="s">
        <v>9</v>
      </c>
      <c r="C17" s="4" t="s">
        <v>10</v>
      </c>
      <c r="D17" s="4">
        <v>20000</v>
      </c>
      <c r="E17" s="4">
        <v>19500</v>
      </c>
      <c r="F17" s="4">
        <v>900</v>
      </c>
      <c r="G17" s="4">
        <v>24</v>
      </c>
      <c r="H17" s="4">
        <v>27</v>
      </c>
      <c r="I17" s="4">
        <v>400</v>
      </c>
    </row>
    <row r="18" spans="1:9" x14ac:dyDescent="0.3">
      <c r="A18" s="3">
        <v>46135</v>
      </c>
      <c r="B18" s="4" t="s">
        <v>9</v>
      </c>
      <c r="C18" s="4" t="s">
        <v>11</v>
      </c>
      <c r="D18" s="4">
        <v>48000</v>
      </c>
      <c r="E18" s="4">
        <v>47000</v>
      </c>
      <c r="F18" s="4">
        <v>900</v>
      </c>
      <c r="G18" s="4">
        <v>72</v>
      </c>
      <c r="H18" s="4">
        <v>53</v>
      </c>
      <c r="I18" s="4">
        <v>24000</v>
      </c>
    </row>
    <row r="19" spans="1:9" ht="28.8" x14ac:dyDescent="0.3">
      <c r="A19" s="3">
        <v>46135</v>
      </c>
      <c r="B19" s="4" t="s">
        <v>12</v>
      </c>
      <c r="C19" s="4" t="s">
        <v>10</v>
      </c>
      <c r="D19" s="4">
        <v>22000</v>
      </c>
      <c r="E19" s="4">
        <v>21500</v>
      </c>
      <c r="F19" s="4">
        <v>1000</v>
      </c>
      <c r="G19" s="4">
        <v>25</v>
      </c>
      <c r="H19" s="4">
        <v>26</v>
      </c>
      <c r="I19" s="4">
        <v>440</v>
      </c>
    </row>
    <row r="20" spans="1:9" ht="28.8" x14ac:dyDescent="0.3">
      <c r="A20" s="3">
        <v>46135</v>
      </c>
      <c r="B20" s="4" t="s">
        <v>12</v>
      </c>
      <c r="C20" s="4" t="s">
        <v>14</v>
      </c>
      <c r="D20" s="4">
        <v>57000</v>
      </c>
      <c r="E20" s="4">
        <v>56000</v>
      </c>
      <c r="F20" s="4">
        <v>1000</v>
      </c>
      <c r="G20" s="4">
        <v>94</v>
      </c>
      <c r="H20" s="4">
        <v>18</v>
      </c>
      <c r="I20" s="4">
        <v>570</v>
      </c>
    </row>
    <row r="21" spans="1:9" x14ac:dyDescent="0.3">
      <c r="A21" s="3">
        <v>46135</v>
      </c>
      <c r="B21" s="4" t="s">
        <v>13</v>
      </c>
      <c r="C21" s="4" t="s">
        <v>11</v>
      </c>
      <c r="D21" s="4">
        <v>24000</v>
      </c>
      <c r="E21" s="4">
        <v>23500</v>
      </c>
      <c r="F21" s="4">
        <v>620</v>
      </c>
      <c r="G21" s="4">
        <v>69</v>
      </c>
      <c r="H21" s="4">
        <v>52</v>
      </c>
      <c r="I21" s="4">
        <v>12000</v>
      </c>
    </row>
    <row r="22" spans="1:9" x14ac:dyDescent="0.3">
      <c r="A22" s="3">
        <v>46165</v>
      </c>
      <c r="B22" s="4" t="s">
        <v>9</v>
      </c>
      <c r="C22" s="4" t="s">
        <v>10</v>
      </c>
      <c r="D22" s="4">
        <v>24000</v>
      </c>
      <c r="E22" s="4">
        <v>23500</v>
      </c>
      <c r="F22" s="4">
        <v>980</v>
      </c>
      <c r="G22" s="4">
        <v>29</v>
      </c>
      <c r="H22" s="4">
        <v>26</v>
      </c>
      <c r="I22" s="4">
        <v>480</v>
      </c>
    </row>
    <row r="23" spans="1:9" x14ac:dyDescent="0.3">
      <c r="A23" s="3">
        <v>46165</v>
      </c>
      <c r="B23" s="4" t="s">
        <v>9</v>
      </c>
      <c r="C23" s="4" t="s">
        <v>11</v>
      </c>
      <c r="D23" s="4">
        <v>52000</v>
      </c>
      <c r="E23" s="4">
        <v>51000</v>
      </c>
      <c r="F23" s="4">
        <v>980</v>
      </c>
      <c r="G23" s="4">
        <v>75</v>
      </c>
      <c r="H23" s="4">
        <v>54</v>
      </c>
      <c r="I23" s="4">
        <v>26000</v>
      </c>
    </row>
    <row r="24" spans="1:9" ht="28.8" x14ac:dyDescent="0.3">
      <c r="A24" s="3">
        <v>46165</v>
      </c>
      <c r="B24" s="4" t="s">
        <v>12</v>
      </c>
      <c r="C24" s="4" t="s">
        <v>10</v>
      </c>
      <c r="D24" s="4">
        <v>26000</v>
      </c>
      <c r="E24" s="4">
        <v>25500</v>
      </c>
      <c r="F24" s="4">
        <v>1100</v>
      </c>
      <c r="G24" s="4">
        <v>30</v>
      </c>
      <c r="H24" s="4">
        <v>26</v>
      </c>
      <c r="I24" s="4">
        <v>520</v>
      </c>
    </row>
    <row r="25" spans="1:9" ht="28.8" x14ac:dyDescent="0.3">
      <c r="A25" s="3">
        <v>46165</v>
      </c>
      <c r="B25" s="4" t="s">
        <v>12</v>
      </c>
      <c r="C25" s="4" t="s">
        <v>14</v>
      </c>
      <c r="D25" s="4">
        <v>58000</v>
      </c>
      <c r="E25" s="4">
        <v>57000</v>
      </c>
      <c r="F25" s="4">
        <v>1100</v>
      </c>
      <c r="G25" s="4">
        <v>95</v>
      </c>
      <c r="H25" s="4">
        <v>18</v>
      </c>
      <c r="I25" s="4">
        <v>580</v>
      </c>
    </row>
    <row r="26" spans="1:9" x14ac:dyDescent="0.3">
      <c r="A26" s="3">
        <v>46165</v>
      </c>
      <c r="B26" s="4" t="s">
        <v>13</v>
      </c>
      <c r="C26" s="4" t="s">
        <v>11</v>
      </c>
      <c r="D26" s="4">
        <v>26000</v>
      </c>
      <c r="E26" s="4">
        <v>25500</v>
      </c>
      <c r="F26" s="4">
        <v>680</v>
      </c>
      <c r="G26" s="4">
        <v>72</v>
      </c>
      <c r="H26" s="4">
        <v>53</v>
      </c>
      <c r="I26" s="4">
        <v>13000</v>
      </c>
    </row>
    <row r="27" spans="1:9" x14ac:dyDescent="0.3">
      <c r="A27" s="3">
        <v>46196</v>
      </c>
      <c r="B27" s="4" t="s">
        <v>9</v>
      </c>
      <c r="C27" s="4" t="s">
        <v>10</v>
      </c>
      <c r="D27" s="4">
        <v>27000</v>
      </c>
      <c r="E27" s="4">
        <v>26500</v>
      </c>
      <c r="F27" s="4">
        <v>1150</v>
      </c>
      <c r="G27" s="4">
        <v>32</v>
      </c>
      <c r="H27" s="4">
        <v>26</v>
      </c>
      <c r="I27" s="4">
        <v>540</v>
      </c>
    </row>
    <row r="28" spans="1:9" x14ac:dyDescent="0.3">
      <c r="A28" s="3">
        <v>46196</v>
      </c>
      <c r="B28" s="4" t="s">
        <v>9</v>
      </c>
      <c r="C28" s="4" t="s">
        <v>11</v>
      </c>
      <c r="D28" s="4">
        <v>58000</v>
      </c>
      <c r="E28" s="4">
        <v>57000</v>
      </c>
      <c r="F28" s="4">
        <v>1150</v>
      </c>
      <c r="G28" s="4">
        <v>82</v>
      </c>
      <c r="H28" s="4">
        <v>56</v>
      </c>
      <c r="I28" s="4">
        <v>29000</v>
      </c>
    </row>
    <row r="29" spans="1:9" x14ac:dyDescent="0.3">
      <c r="A29" s="3">
        <v>46196</v>
      </c>
      <c r="B29" s="4" t="s">
        <v>12</v>
      </c>
      <c r="C29" s="4" t="s">
        <v>10</v>
      </c>
      <c r="D29" s="4">
        <v>29000</v>
      </c>
      <c r="E29" s="4">
        <v>28500</v>
      </c>
      <c r="F29" s="4">
        <v>1280</v>
      </c>
      <c r="G29" s="4">
        <v>34</v>
      </c>
      <c r="H29" s="4">
        <v>25</v>
      </c>
      <c r="I29" s="4">
        <v>580</v>
      </c>
    </row>
    <row r="30" spans="1:9" x14ac:dyDescent="0.3">
      <c r="A30" s="3">
        <v>46196</v>
      </c>
      <c r="B30" s="4" t="s">
        <v>12</v>
      </c>
      <c r="C30" s="4" t="s">
        <v>14</v>
      </c>
      <c r="D30" s="4">
        <v>59000</v>
      </c>
      <c r="E30" s="4">
        <v>58000</v>
      </c>
      <c r="F30" s="4">
        <v>1280</v>
      </c>
      <c r="G30" s="4">
        <v>96</v>
      </c>
      <c r="H30" s="4">
        <v>18</v>
      </c>
      <c r="I30" s="4">
        <v>590</v>
      </c>
    </row>
    <row r="31" spans="1:9" x14ac:dyDescent="0.3">
      <c r="A31" s="3">
        <v>46196</v>
      </c>
      <c r="B31" s="4" t="s">
        <v>13</v>
      </c>
      <c r="C31" s="4" t="s">
        <v>11</v>
      </c>
      <c r="D31" s="4">
        <v>29000</v>
      </c>
      <c r="E31" s="4">
        <v>28500</v>
      </c>
      <c r="F31" s="4">
        <v>780</v>
      </c>
      <c r="G31" s="4">
        <v>78</v>
      </c>
      <c r="H31" s="4">
        <v>55</v>
      </c>
      <c r="I31" s="4">
        <v>14500</v>
      </c>
    </row>
    <row r="32" spans="1:9" x14ac:dyDescent="0.3">
      <c r="A32" s="3">
        <v>46226</v>
      </c>
      <c r="B32" s="4" t="s">
        <v>9</v>
      </c>
      <c r="C32" s="4" t="s">
        <v>10</v>
      </c>
      <c r="D32" s="4">
        <v>28000</v>
      </c>
      <c r="E32" s="4">
        <v>27500</v>
      </c>
      <c r="F32" s="4">
        <v>1250</v>
      </c>
      <c r="G32" s="4">
        <v>33</v>
      </c>
      <c r="H32" s="4">
        <v>26</v>
      </c>
      <c r="I32" s="4">
        <v>560</v>
      </c>
    </row>
    <row r="33" spans="1:9" x14ac:dyDescent="0.3">
      <c r="A33" s="3">
        <v>46226</v>
      </c>
      <c r="B33" s="4" t="s">
        <v>9</v>
      </c>
      <c r="C33" s="4" t="s">
        <v>11</v>
      </c>
      <c r="D33" s="4">
        <v>62000</v>
      </c>
      <c r="E33" s="4">
        <v>61000</v>
      </c>
      <c r="F33" s="4">
        <v>1250</v>
      </c>
      <c r="G33" s="4">
        <v>88</v>
      </c>
      <c r="H33" s="4">
        <v>58</v>
      </c>
      <c r="I33" s="4">
        <v>31000</v>
      </c>
    </row>
    <row r="34" spans="1:9" x14ac:dyDescent="0.3">
      <c r="A34" s="3">
        <v>46226</v>
      </c>
      <c r="B34" s="4" t="s">
        <v>12</v>
      </c>
      <c r="C34" s="4" t="s">
        <v>10</v>
      </c>
      <c r="D34" s="4">
        <v>30000</v>
      </c>
      <c r="E34" s="4">
        <v>29500</v>
      </c>
      <c r="F34" s="4">
        <v>1380</v>
      </c>
      <c r="G34" s="4">
        <v>36</v>
      </c>
      <c r="H34" s="4">
        <v>25</v>
      </c>
      <c r="I34" s="4">
        <v>600</v>
      </c>
    </row>
    <row r="35" spans="1:9" x14ac:dyDescent="0.3">
      <c r="A35" s="3">
        <v>46226</v>
      </c>
      <c r="B35" s="4" t="s">
        <v>12</v>
      </c>
      <c r="C35" s="4" t="s">
        <v>14</v>
      </c>
      <c r="D35" s="4">
        <v>60000</v>
      </c>
      <c r="E35" s="4">
        <v>59000</v>
      </c>
      <c r="F35" s="4">
        <v>1380</v>
      </c>
      <c r="G35" s="4">
        <v>96</v>
      </c>
      <c r="H35" s="4">
        <v>18</v>
      </c>
      <c r="I35" s="4">
        <v>600</v>
      </c>
    </row>
    <row r="36" spans="1:9" x14ac:dyDescent="0.3">
      <c r="A36" s="3">
        <v>46226</v>
      </c>
      <c r="B36" s="4" t="s">
        <v>13</v>
      </c>
      <c r="C36" s="4" t="s">
        <v>11</v>
      </c>
      <c r="D36" s="4">
        <v>31000</v>
      </c>
      <c r="E36" s="4">
        <v>30500</v>
      </c>
      <c r="F36" s="4">
        <v>850</v>
      </c>
      <c r="G36" s="4">
        <v>82</v>
      </c>
      <c r="H36" s="4">
        <v>57</v>
      </c>
      <c r="I36" s="4">
        <v>15500</v>
      </c>
    </row>
    <row r="37" spans="1:9" x14ac:dyDescent="0.3">
      <c r="A37" s="3">
        <v>46257</v>
      </c>
      <c r="B37" s="4" t="s">
        <v>9</v>
      </c>
      <c r="C37" s="4" t="s">
        <v>10</v>
      </c>
      <c r="D37" s="4">
        <v>27000</v>
      </c>
      <c r="E37" s="4">
        <v>26500</v>
      </c>
      <c r="F37" s="4">
        <v>1230</v>
      </c>
      <c r="G37" s="4">
        <v>32</v>
      </c>
      <c r="H37" s="4">
        <v>26</v>
      </c>
      <c r="I37" s="4">
        <v>540</v>
      </c>
    </row>
    <row r="38" spans="1:9" x14ac:dyDescent="0.3">
      <c r="A38" s="3">
        <v>46257</v>
      </c>
      <c r="B38" s="4" t="s">
        <v>9</v>
      </c>
      <c r="C38" s="4" t="s">
        <v>11</v>
      </c>
      <c r="D38" s="4">
        <v>61000</v>
      </c>
      <c r="E38" s="4">
        <v>60000</v>
      </c>
      <c r="F38" s="4">
        <v>1230</v>
      </c>
      <c r="G38" s="4">
        <v>87</v>
      </c>
      <c r="H38" s="4">
        <v>58</v>
      </c>
      <c r="I38" s="4">
        <v>30500</v>
      </c>
    </row>
    <row r="39" spans="1:9" x14ac:dyDescent="0.3">
      <c r="A39" s="3">
        <v>46257</v>
      </c>
      <c r="B39" s="4" t="s">
        <v>12</v>
      </c>
      <c r="C39" s="4" t="s">
        <v>10</v>
      </c>
      <c r="D39" s="4">
        <v>29000</v>
      </c>
      <c r="E39" s="4">
        <v>28500</v>
      </c>
      <c r="F39" s="4">
        <v>1350</v>
      </c>
      <c r="G39" s="4">
        <v>35</v>
      </c>
      <c r="H39" s="4">
        <v>25</v>
      </c>
      <c r="I39" s="4">
        <v>580</v>
      </c>
    </row>
    <row r="40" spans="1:9" x14ac:dyDescent="0.3">
      <c r="A40" s="3">
        <v>46257</v>
      </c>
      <c r="B40" s="4" t="s">
        <v>12</v>
      </c>
      <c r="C40" s="4" t="s">
        <v>14</v>
      </c>
      <c r="D40" s="4">
        <v>60000</v>
      </c>
      <c r="E40" s="4">
        <v>59000</v>
      </c>
      <c r="F40" s="4">
        <v>1350</v>
      </c>
      <c r="G40" s="4">
        <v>96</v>
      </c>
      <c r="H40" s="4">
        <v>18</v>
      </c>
      <c r="I40" s="4">
        <v>600</v>
      </c>
    </row>
    <row r="41" spans="1:9" x14ac:dyDescent="0.3">
      <c r="A41" s="3">
        <v>46257</v>
      </c>
      <c r="B41" s="4" t="s">
        <v>13</v>
      </c>
      <c r="C41" s="4" t="s">
        <v>11</v>
      </c>
      <c r="D41" s="4">
        <v>30000</v>
      </c>
      <c r="E41" s="4">
        <v>29500</v>
      </c>
      <c r="F41" s="4">
        <v>830</v>
      </c>
      <c r="G41" s="4">
        <v>80</v>
      </c>
      <c r="H41" s="4">
        <v>57</v>
      </c>
      <c r="I41" s="4">
        <v>15000</v>
      </c>
    </row>
    <row r="42" spans="1:9" x14ac:dyDescent="0.3">
      <c r="A42" s="3">
        <v>46288</v>
      </c>
      <c r="B42" s="4" t="s">
        <v>9</v>
      </c>
      <c r="C42" s="4" t="s">
        <v>10</v>
      </c>
      <c r="D42" s="4">
        <v>24000</v>
      </c>
      <c r="E42" s="4">
        <v>23500</v>
      </c>
      <c r="F42" s="4">
        <v>1100</v>
      </c>
      <c r="G42" s="4">
        <v>29</v>
      </c>
      <c r="H42" s="4">
        <v>27</v>
      </c>
      <c r="I42" s="4">
        <v>480</v>
      </c>
    </row>
    <row r="43" spans="1:9" x14ac:dyDescent="0.3">
      <c r="A43" s="3">
        <v>46288</v>
      </c>
      <c r="B43" s="4" t="s">
        <v>9</v>
      </c>
      <c r="C43" s="4" t="s">
        <v>11</v>
      </c>
      <c r="D43" s="4">
        <v>55000</v>
      </c>
      <c r="E43" s="4">
        <v>54000</v>
      </c>
      <c r="F43" s="4">
        <v>1100</v>
      </c>
      <c r="G43" s="4">
        <v>79</v>
      </c>
      <c r="H43" s="4">
        <v>56</v>
      </c>
      <c r="I43" s="4">
        <v>27500</v>
      </c>
    </row>
    <row r="44" spans="1:9" x14ac:dyDescent="0.3">
      <c r="A44" s="3">
        <v>46288</v>
      </c>
      <c r="B44" s="4" t="s">
        <v>12</v>
      </c>
      <c r="C44" s="4" t="s">
        <v>10</v>
      </c>
      <c r="D44" s="4">
        <v>26000</v>
      </c>
      <c r="E44" s="4">
        <v>25500</v>
      </c>
      <c r="F44" s="4">
        <v>1200</v>
      </c>
      <c r="G44" s="4">
        <v>30</v>
      </c>
      <c r="H44" s="4">
        <v>26</v>
      </c>
      <c r="I44" s="4">
        <v>520</v>
      </c>
    </row>
    <row r="45" spans="1:9" x14ac:dyDescent="0.3">
      <c r="A45" s="3">
        <v>46288</v>
      </c>
      <c r="B45" s="4" t="s">
        <v>12</v>
      </c>
      <c r="C45" s="4" t="s">
        <v>14</v>
      </c>
      <c r="D45" s="4">
        <v>58000</v>
      </c>
      <c r="E45" s="4">
        <v>57000</v>
      </c>
      <c r="F45" s="4">
        <v>1200</v>
      </c>
      <c r="G45" s="4">
        <v>95</v>
      </c>
      <c r="H45" s="4">
        <v>18</v>
      </c>
      <c r="I45" s="4">
        <v>580</v>
      </c>
    </row>
    <row r="46" spans="1:9" x14ac:dyDescent="0.3">
      <c r="A46" s="3">
        <v>46288</v>
      </c>
      <c r="B46" s="4" t="s">
        <v>13</v>
      </c>
      <c r="C46" s="4" t="s">
        <v>11</v>
      </c>
      <c r="D46" s="4">
        <v>27000</v>
      </c>
      <c r="E46" s="4">
        <v>26500</v>
      </c>
      <c r="F46" s="4">
        <v>720</v>
      </c>
      <c r="G46" s="4">
        <v>74</v>
      </c>
      <c r="H46" s="4">
        <v>55</v>
      </c>
      <c r="I46" s="4">
        <v>13500</v>
      </c>
    </row>
    <row r="47" spans="1:9" x14ac:dyDescent="0.3">
      <c r="A47" s="3">
        <v>46318</v>
      </c>
      <c r="B47" s="4" t="s">
        <v>9</v>
      </c>
      <c r="C47" s="4" t="s">
        <v>10</v>
      </c>
      <c r="D47" s="4">
        <v>20000</v>
      </c>
      <c r="E47" s="4">
        <v>19500</v>
      </c>
      <c r="F47" s="4">
        <v>950</v>
      </c>
      <c r="G47" s="4">
        <v>24</v>
      </c>
      <c r="H47" s="4">
        <v>27</v>
      </c>
      <c r="I47" s="4">
        <v>400</v>
      </c>
    </row>
    <row r="48" spans="1:9" x14ac:dyDescent="0.3">
      <c r="A48" s="3">
        <v>46318</v>
      </c>
      <c r="B48" s="4" t="s">
        <v>9</v>
      </c>
      <c r="C48" s="4" t="s">
        <v>11</v>
      </c>
      <c r="D48" s="4">
        <v>49000</v>
      </c>
      <c r="E48" s="4">
        <v>48000</v>
      </c>
      <c r="F48" s="4">
        <v>950</v>
      </c>
      <c r="G48" s="4">
        <v>73</v>
      </c>
      <c r="H48" s="4">
        <v>54</v>
      </c>
      <c r="I48" s="4">
        <v>24500</v>
      </c>
    </row>
    <row r="49" spans="1:9" x14ac:dyDescent="0.3">
      <c r="A49" s="3">
        <v>46318</v>
      </c>
      <c r="B49" s="4" t="s">
        <v>12</v>
      </c>
      <c r="C49" s="4" t="s">
        <v>10</v>
      </c>
      <c r="D49" s="4">
        <v>22000</v>
      </c>
      <c r="E49" s="4">
        <v>21500</v>
      </c>
      <c r="F49" s="4">
        <v>1050</v>
      </c>
      <c r="G49" s="4">
        <v>26</v>
      </c>
      <c r="H49" s="4">
        <v>26</v>
      </c>
      <c r="I49" s="4">
        <v>440</v>
      </c>
    </row>
    <row r="50" spans="1:9" x14ac:dyDescent="0.3">
      <c r="A50" s="3">
        <v>46318</v>
      </c>
      <c r="B50" s="4" t="s">
        <v>12</v>
      </c>
      <c r="C50" s="4" t="s">
        <v>14</v>
      </c>
      <c r="D50" s="4">
        <v>57000</v>
      </c>
      <c r="E50" s="4">
        <v>56000</v>
      </c>
      <c r="F50" s="4">
        <v>1050</v>
      </c>
      <c r="G50" s="4">
        <v>94</v>
      </c>
      <c r="H50" s="4">
        <v>18</v>
      </c>
      <c r="I50" s="4">
        <v>570</v>
      </c>
    </row>
    <row r="51" spans="1:9" x14ac:dyDescent="0.3">
      <c r="A51" s="3">
        <v>46318</v>
      </c>
      <c r="B51" s="4" t="s">
        <v>13</v>
      </c>
      <c r="C51" s="4" t="s">
        <v>11</v>
      </c>
      <c r="D51" s="4">
        <v>25000</v>
      </c>
      <c r="E51" s="4">
        <v>24500</v>
      </c>
      <c r="F51" s="4">
        <v>650</v>
      </c>
      <c r="G51" s="4">
        <v>70</v>
      </c>
      <c r="H51" s="4">
        <v>53</v>
      </c>
      <c r="I51" s="4">
        <v>12500</v>
      </c>
    </row>
    <row r="52" spans="1:9" x14ac:dyDescent="0.3">
      <c r="A52" s="3">
        <v>46349</v>
      </c>
      <c r="B52" s="4" t="s">
        <v>9</v>
      </c>
      <c r="C52" s="4" t="s">
        <v>10</v>
      </c>
      <c r="D52" s="4">
        <v>16000</v>
      </c>
      <c r="E52" s="4">
        <v>15500</v>
      </c>
      <c r="F52" s="4">
        <v>880</v>
      </c>
      <c r="G52" s="4">
        <v>19</v>
      </c>
      <c r="H52" s="4">
        <v>28</v>
      </c>
      <c r="I52" s="4">
        <v>320</v>
      </c>
    </row>
    <row r="53" spans="1:9" x14ac:dyDescent="0.3">
      <c r="A53" s="3">
        <v>46349</v>
      </c>
      <c r="B53" s="4" t="s">
        <v>9</v>
      </c>
      <c r="C53" s="4" t="s">
        <v>11</v>
      </c>
      <c r="D53" s="4">
        <v>46000</v>
      </c>
      <c r="E53" s="4">
        <v>45000</v>
      </c>
      <c r="F53" s="4">
        <v>880</v>
      </c>
      <c r="G53" s="4">
        <v>70</v>
      </c>
      <c r="H53" s="4">
        <v>53</v>
      </c>
      <c r="I53" s="4">
        <v>23000</v>
      </c>
    </row>
    <row r="54" spans="1:9" x14ac:dyDescent="0.3">
      <c r="A54" s="3">
        <v>46349</v>
      </c>
      <c r="B54" s="4" t="s">
        <v>12</v>
      </c>
      <c r="C54" s="4" t="s">
        <v>10</v>
      </c>
      <c r="D54" s="4">
        <v>18000</v>
      </c>
      <c r="E54" s="4">
        <v>17500</v>
      </c>
      <c r="F54" s="4">
        <v>960</v>
      </c>
      <c r="G54" s="4">
        <v>21</v>
      </c>
      <c r="H54" s="4">
        <v>27</v>
      </c>
      <c r="I54" s="4">
        <v>360</v>
      </c>
    </row>
    <row r="55" spans="1:9" x14ac:dyDescent="0.3">
      <c r="A55" s="3">
        <v>46349</v>
      </c>
      <c r="B55" s="4" t="s">
        <v>12</v>
      </c>
      <c r="C55" s="4" t="s">
        <v>14</v>
      </c>
      <c r="D55" s="4">
        <v>55000</v>
      </c>
      <c r="E55" s="4">
        <v>54000</v>
      </c>
      <c r="F55" s="4">
        <v>960</v>
      </c>
      <c r="G55" s="4">
        <v>92</v>
      </c>
      <c r="H55" s="4">
        <v>18</v>
      </c>
      <c r="I55" s="4">
        <v>550</v>
      </c>
    </row>
    <row r="56" spans="1:9" x14ac:dyDescent="0.3">
      <c r="A56" s="3">
        <v>46349</v>
      </c>
      <c r="B56" s="4" t="s">
        <v>13</v>
      </c>
      <c r="C56" s="4" t="s">
        <v>11</v>
      </c>
      <c r="D56" s="4">
        <v>23000</v>
      </c>
      <c r="E56" s="4">
        <v>22500</v>
      </c>
      <c r="F56" s="4">
        <v>600</v>
      </c>
      <c r="G56" s="4">
        <v>66</v>
      </c>
      <c r="H56" s="4">
        <v>52</v>
      </c>
      <c r="I56" s="4">
        <v>11500</v>
      </c>
    </row>
    <row r="57" spans="1:9" x14ac:dyDescent="0.3">
      <c r="A57" s="3">
        <v>46379</v>
      </c>
      <c r="B57" s="4" t="s">
        <v>9</v>
      </c>
      <c r="C57" s="4" t="s">
        <v>10</v>
      </c>
      <c r="D57" s="4">
        <v>14000</v>
      </c>
      <c r="E57" s="4">
        <v>13500</v>
      </c>
      <c r="F57" s="4">
        <v>830</v>
      </c>
      <c r="G57" s="4">
        <v>17</v>
      </c>
      <c r="H57" s="4">
        <v>28</v>
      </c>
      <c r="I57" s="4">
        <v>280</v>
      </c>
    </row>
    <row r="58" spans="1:9" x14ac:dyDescent="0.3">
      <c r="A58" s="3">
        <v>46379</v>
      </c>
      <c r="B58" s="4" t="s">
        <v>9</v>
      </c>
      <c r="C58" s="4" t="s">
        <v>11</v>
      </c>
      <c r="D58" s="4">
        <v>44000</v>
      </c>
      <c r="E58" s="4">
        <v>43000</v>
      </c>
      <c r="F58" s="4">
        <v>830</v>
      </c>
      <c r="G58" s="4">
        <v>67</v>
      </c>
      <c r="H58" s="4">
        <v>52</v>
      </c>
      <c r="I58" s="4">
        <v>22000</v>
      </c>
    </row>
    <row r="59" spans="1:9" x14ac:dyDescent="0.3">
      <c r="A59" s="3">
        <v>46379</v>
      </c>
      <c r="B59" s="4" t="s">
        <v>12</v>
      </c>
      <c r="C59" s="4" t="s">
        <v>10</v>
      </c>
      <c r="D59" s="4">
        <v>17000</v>
      </c>
      <c r="E59" s="4">
        <v>16500</v>
      </c>
      <c r="F59" s="4">
        <v>930</v>
      </c>
      <c r="G59" s="4">
        <v>20</v>
      </c>
      <c r="H59" s="4">
        <v>27</v>
      </c>
      <c r="I59" s="4">
        <v>340</v>
      </c>
    </row>
    <row r="60" spans="1:9" x14ac:dyDescent="0.3">
      <c r="A60" s="3">
        <v>46379</v>
      </c>
      <c r="B60" s="4" t="s">
        <v>12</v>
      </c>
      <c r="C60" s="4" t="s">
        <v>14</v>
      </c>
      <c r="D60" s="4">
        <v>54000</v>
      </c>
      <c r="E60" s="4">
        <v>53000</v>
      </c>
      <c r="F60" s="4">
        <v>930</v>
      </c>
      <c r="G60" s="4">
        <v>91</v>
      </c>
      <c r="H60" s="4">
        <v>18</v>
      </c>
      <c r="I60" s="4">
        <v>540</v>
      </c>
    </row>
    <row r="61" spans="1:9" x14ac:dyDescent="0.3">
      <c r="A61" s="3">
        <v>46379</v>
      </c>
      <c r="B61" s="4" t="s">
        <v>13</v>
      </c>
      <c r="C61" s="4" t="s">
        <v>11</v>
      </c>
      <c r="D61" s="4">
        <v>22000</v>
      </c>
      <c r="E61" s="4">
        <v>21500</v>
      </c>
      <c r="F61" s="4">
        <v>580</v>
      </c>
      <c r="G61" s="4">
        <v>64</v>
      </c>
      <c r="H61" s="4">
        <v>51</v>
      </c>
      <c r="I61" s="4">
        <v>11000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B2B6-7668-4FBF-8F59-ABDCC911669C}">
  <dimension ref="A1:K61"/>
  <sheetViews>
    <sheetView topLeftCell="A2" workbookViewId="0">
      <selection activeCell="I28" sqref="I28"/>
    </sheetView>
  </sheetViews>
  <sheetFormatPr defaultColWidth="18.109375" defaultRowHeight="14.4" x14ac:dyDescent="0.3"/>
  <cols>
    <col min="5" max="5" width="18.88671875" customWidth="1"/>
    <col min="6" max="6" width="18.6640625" customWidth="1"/>
    <col min="7" max="7" width="18.77734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</v>
      </c>
      <c r="K1" s="2" t="s">
        <v>16</v>
      </c>
    </row>
    <row r="2" spans="1:11" x14ac:dyDescent="0.3">
      <c r="A2" s="3">
        <v>46045</v>
      </c>
      <c r="B2" s="4" t="s">
        <v>9</v>
      </c>
      <c r="C2" s="4" t="s">
        <v>10</v>
      </c>
      <c r="D2" s="4">
        <v>15000</v>
      </c>
      <c r="E2" s="4">
        <v>14200</v>
      </c>
      <c r="F2" s="4">
        <v>820</v>
      </c>
      <c r="G2" s="4">
        <v>18</v>
      </c>
      <c r="H2" s="4">
        <v>28</v>
      </c>
      <c r="I2" s="4">
        <v>300</v>
      </c>
      <c r="J2" s="4">
        <f>EnergyData[[#This Row],[Generation_MWh]]-EnergyData[[#This Row],[Consumption_MWh]]</f>
        <v>800</v>
      </c>
      <c r="K2" s="4">
        <f>EnergyData[[#This Row],[Line_Loss_MWh]]/EnergyData[[#This Row],[Generation_MWh]]*100</f>
        <v>5.3333333333333339</v>
      </c>
    </row>
    <row r="3" spans="1:11" x14ac:dyDescent="0.3">
      <c r="A3" s="3">
        <v>46045</v>
      </c>
      <c r="B3" s="4" t="s">
        <v>9</v>
      </c>
      <c r="C3" s="4" t="s">
        <v>11</v>
      </c>
      <c r="D3" s="4">
        <v>45000</v>
      </c>
      <c r="E3" s="4">
        <v>44100</v>
      </c>
      <c r="F3" s="4">
        <v>820</v>
      </c>
      <c r="G3" s="4">
        <v>68</v>
      </c>
      <c r="H3" s="4">
        <v>52</v>
      </c>
      <c r="I3" s="4">
        <v>22500</v>
      </c>
      <c r="J3" s="4">
        <f>EnergyData[[#This Row],[Generation_MWh]]-EnergyData[[#This Row],[Consumption_MWh]]</f>
        <v>900</v>
      </c>
      <c r="K3" s="4">
        <f>EnergyData[[#This Row],[Line_Loss_MWh]]/EnergyData[[#This Row],[Generation_MWh]]*100</f>
        <v>2</v>
      </c>
    </row>
    <row r="4" spans="1:11" x14ac:dyDescent="0.3">
      <c r="A4" s="3">
        <v>46045</v>
      </c>
      <c r="B4" s="4" t="s">
        <v>12</v>
      </c>
      <c r="C4" s="4" t="s">
        <v>10</v>
      </c>
      <c r="D4" s="4">
        <v>18000</v>
      </c>
      <c r="E4" s="4">
        <v>17500</v>
      </c>
      <c r="F4" s="4">
        <v>950</v>
      </c>
      <c r="G4" s="4">
        <v>20</v>
      </c>
      <c r="H4" s="4">
        <v>27</v>
      </c>
      <c r="I4" s="4">
        <v>360</v>
      </c>
      <c r="J4" s="4">
        <f>EnergyData[[#This Row],[Generation_MWh]]-EnergyData[[#This Row],[Consumption_MWh]]</f>
        <v>500</v>
      </c>
      <c r="K4" s="4">
        <f>EnergyData[[#This Row],[Line_Loss_MWh]]/EnergyData[[#This Row],[Generation_MWh]]*100</f>
        <v>2.7777777777777777</v>
      </c>
    </row>
    <row r="5" spans="1:11" x14ac:dyDescent="0.3">
      <c r="A5" s="3">
        <v>46045</v>
      </c>
      <c r="B5" s="4" t="s">
        <v>12</v>
      </c>
      <c r="C5" s="4" t="s">
        <v>14</v>
      </c>
      <c r="D5" s="4">
        <v>55000</v>
      </c>
      <c r="E5" s="4">
        <v>54000</v>
      </c>
      <c r="F5" s="4">
        <v>950</v>
      </c>
      <c r="G5" s="4">
        <v>92</v>
      </c>
      <c r="H5" s="4">
        <v>18</v>
      </c>
      <c r="I5" s="4">
        <v>550</v>
      </c>
      <c r="J5" s="4">
        <f>EnergyData[[#This Row],[Generation_MWh]]-EnergyData[[#This Row],[Consumption_MWh]]</f>
        <v>1000</v>
      </c>
      <c r="K5" s="4">
        <f>EnergyData[[#This Row],[Line_Loss_MWh]]/EnergyData[[#This Row],[Generation_MWh]]*100</f>
        <v>1.8181818181818181</v>
      </c>
    </row>
    <row r="6" spans="1:11" x14ac:dyDescent="0.3">
      <c r="A6" s="3">
        <v>46045</v>
      </c>
      <c r="B6" s="4" t="s">
        <v>13</v>
      </c>
      <c r="C6" s="4" t="s">
        <v>11</v>
      </c>
      <c r="D6" s="4">
        <v>22000</v>
      </c>
      <c r="E6" s="4">
        <v>21500</v>
      </c>
      <c r="F6" s="4">
        <v>580</v>
      </c>
      <c r="G6" s="4">
        <v>65</v>
      </c>
      <c r="H6" s="4">
        <v>51</v>
      </c>
      <c r="I6" s="4">
        <v>11000</v>
      </c>
      <c r="J6" s="4">
        <f>EnergyData[[#This Row],[Generation_MWh]]-EnergyData[[#This Row],[Consumption_MWh]]</f>
        <v>500</v>
      </c>
      <c r="K6" s="4">
        <f>EnergyData[[#This Row],[Line_Loss_MWh]]/EnergyData[[#This Row],[Generation_MWh]]*100</f>
        <v>2.2727272727272729</v>
      </c>
    </row>
    <row r="7" spans="1:11" x14ac:dyDescent="0.3">
      <c r="A7" s="3">
        <v>46076</v>
      </c>
      <c r="B7" s="4" t="s">
        <v>9</v>
      </c>
      <c r="C7" s="4" t="s">
        <v>10</v>
      </c>
      <c r="D7" s="4">
        <v>14000</v>
      </c>
      <c r="E7" s="4">
        <v>13500</v>
      </c>
      <c r="F7" s="4">
        <v>790</v>
      </c>
      <c r="G7" s="4">
        <v>17</v>
      </c>
      <c r="H7" s="4">
        <v>28</v>
      </c>
      <c r="I7" s="4">
        <v>280</v>
      </c>
      <c r="J7" s="4">
        <f>EnergyData[[#This Row],[Generation_MWh]]-EnergyData[[#This Row],[Consumption_MWh]]</f>
        <v>500</v>
      </c>
      <c r="K7" s="4">
        <f>EnergyData[[#This Row],[Line_Loss_MWh]]/EnergyData[[#This Row],[Generation_MWh]]*100</f>
        <v>3.5714285714285712</v>
      </c>
    </row>
    <row r="8" spans="1:11" x14ac:dyDescent="0.3">
      <c r="A8" s="3">
        <v>46076</v>
      </c>
      <c r="B8" s="4" t="s">
        <v>9</v>
      </c>
      <c r="C8" s="4" t="s">
        <v>11</v>
      </c>
      <c r="D8" s="4">
        <v>43000</v>
      </c>
      <c r="E8" s="4">
        <v>42000</v>
      </c>
      <c r="F8" s="4">
        <v>790</v>
      </c>
      <c r="G8" s="4">
        <v>65</v>
      </c>
      <c r="H8" s="4">
        <v>52</v>
      </c>
      <c r="I8" s="4">
        <v>21500</v>
      </c>
      <c r="J8" s="4">
        <f>EnergyData[[#This Row],[Generation_MWh]]-EnergyData[[#This Row],[Consumption_MWh]]</f>
        <v>1000</v>
      </c>
      <c r="K8" s="4">
        <f>EnergyData[[#This Row],[Line_Loss_MWh]]/EnergyData[[#This Row],[Generation_MWh]]*100</f>
        <v>2.3255813953488373</v>
      </c>
    </row>
    <row r="9" spans="1:11" x14ac:dyDescent="0.3">
      <c r="A9" s="3">
        <v>46076</v>
      </c>
      <c r="B9" s="4" t="s">
        <v>12</v>
      </c>
      <c r="C9" s="4" t="s">
        <v>10</v>
      </c>
      <c r="D9" s="4">
        <v>17000</v>
      </c>
      <c r="E9" s="4">
        <v>16600</v>
      </c>
      <c r="F9" s="4">
        <v>920</v>
      </c>
      <c r="G9" s="4">
        <v>19</v>
      </c>
      <c r="H9" s="4">
        <v>27</v>
      </c>
      <c r="I9" s="4">
        <v>340</v>
      </c>
      <c r="J9" s="4">
        <f>EnergyData[[#This Row],[Generation_MWh]]-EnergyData[[#This Row],[Consumption_MWh]]</f>
        <v>400</v>
      </c>
      <c r="K9" s="4">
        <f>EnergyData[[#This Row],[Line_Loss_MWh]]/EnergyData[[#This Row],[Generation_MWh]]*100</f>
        <v>2.3529411764705883</v>
      </c>
    </row>
    <row r="10" spans="1:11" x14ac:dyDescent="0.3">
      <c r="A10" s="3">
        <v>46076</v>
      </c>
      <c r="B10" s="4" t="s">
        <v>12</v>
      </c>
      <c r="C10" s="4" t="s">
        <v>14</v>
      </c>
      <c r="D10" s="4">
        <v>54000</v>
      </c>
      <c r="E10" s="4">
        <v>53000</v>
      </c>
      <c r="F10" s="4">
        <v>920</v>
      </c>
      <c r="G10" s="4">
        <v>91</v>
      </c>
      <c r="H10" s="4">
        <v>18</v>
      </c>
      <c r="I10" s="4">
        <v>540</v>
      </c>
      <c r="J10" s="4">
        <f>EnergyData[[#This Row],[Generation_MWh]]-EnergyData[[#This Row],[Consumption_MWh]]</f>
        <v>1000</v>
      </c>
      <c r="K10" s="4">
        <f>EnergyData[[#This Row],[Line_Loss_MWh]]/EnergyData[[#This Row],[Generation_MWh]]*100</f>
        <v>1.8518518518518516</v>
      </c>
    </row>
    <row r="11" spans="1:11" x14ac:dyDescent="0.3">
      <c r="A11" s="3">
        <v>46076</v>
      </c>
      <c r="B11" s="4" t="s">
        <v>13</v>
      </c>
      <c r="C11" s="4" t="s">
        <v>11</v>
      </c>
      <c r="D11" s="4">
        <v>21000</v>
      </c>
      <c r="E11" s="4">
        <v>20500</v>
      </c>
      <c r="F11" s="4">
        <v>560</v>
      </c>
      <c r="G11" s="4">
        <v>63</v>
      </c>
      <c r="H11" s="4">
        <v>51</v>
      </c>
      <c r="I11" s="4">
        <v>10500</v>
      </c>
      <c r="J11" s="4">
        <f>EnergyData[[#This Row],[Generation_MWh]]-EnergyData[[#This Row],[Consumption_MWh]]</f>
        <v>500</v>
      </c>
      <c r="K11" s="4">
        <f>EnergyData[[#This Row],[Line_Loss_MWh]]/EnergyData[[#This Row],[Generation_MWh]]*100</f>
        <v>2.3809523809523809</v>
      </c>
    </row>
    <row r="12" spans="1:11" x14ac:dyDescent="0.3">
      <c r="A12" s="3">
        <v>46104</v>
      </c>
      <c r="B12" s="4" t="s">
        <v>9</v>
      </c>
      <c r="C12" s="4" t="s">
        <v>10</v>
      </c>
      <c r="D12" s="4">
        <v>17000</v>
      </c>
      <c r="E12" s="4">
        <v>16500</v>
      </c>
      <c r="F12" s="4">
        <v>850</v>
      </c>
      <c r="G12" s="4">
        <v>21</v>
      </c>
      <c r="H12" s="4">
        <v>28</v>
      </c>
      <c r="I12" s="4">
        <v>340</v>
      </c>
      <c r="J12" s="4">
        <f>EnergyData[[#This Row],[Generation_MWh]]-EnergyData[[#This Row],[Consumption_MWh]]</f>
        <v>500</v>
      </c>
      <c r="K12" s="4">
        <f>EnergyData[[#This Row],[Line_Loss_MWh]]/EnergyData[[#This Row],[Generation_MWh]]*100</f>
        <v>2.9411764705882351</v>
      </c>
    </row>
    <row r="13" spans="1:11" x14ac:dyDescent="0.3">
      <c r="A13" s="3">
        <v>46104</v>
      </c>
      <c r="B13" s="4" t="s">
        <v>9</v>
      </c>
      <c r="C13" s="4" t="s">
        <v>11</v>
      </c>
      <c r="D13" s="4">
        <v>46000</v>
      </c>
      <c r="E13" s="4">
        <v>45000</v>
      </c>
      <c r="F13" s="4">
        <v>850</v>
      </c>
      <c r="G13" s="4">
        <v>69</v>
      </c>
      <c r="H13" s="4">
        <v>53</v>
      </c>
      <c r="I13" s="4">
        <v>23000</v>
      </c>
      <c r="J13" s="4">
        <f>EnergyData[[#This Row],[Generation_MWh]]-EnergyData[[#This Row],[Consumption_MWh]]</f>
        <v>1000</v>
      </c>
      <c r="K13" s="4">
        <f>EnergyData[[#This Row],[Line_Loss_MWh]]/EnergyData[[#This Row],[Generation_MWh]]*100</f>
        <v>2.1739130434782608</v>
      </c>
    </row>
    <row r="14" spans="1:11" x14ac:dyDescent="0.3">
      <c r="A14" s="3">
        <v>46104</v>
      </c>
      <c r="B14" s="4" t="s">
        <v>12</v>
      </c>
      <c r="C14" s="4" t="s">
        <v>10</v>
      </c>
      <c r="D14" s="4">
        <v>19000</v>
      </c>
      <c r="E14" s="4">
        <v>18500</v>
      </c>
      <c r="F14" s="4">
        <v>970</v>
      </c>
      <c r="G14" s="4">
        <v>22</v>
      </c>
      <c r="H14" s="4">
        <v>27</v>
      </c>
      <c r="I14" s="4">
        <v>380</v>
      </c>
      <c r="J14" s="4">
        <f>EnergyData[[#This Row],[Generation_MWh]]-EnergyData[[#This Row],[Consumption_MWh]]</f>
        <v>500</v>
      </c>
      <c r="K14" s="4">
        <f>EnergyData[[#This Row],[Line_Loss_MWh]]/EnergyData[[#This Row],[Generation_MWh]]*100</f>
        <v>2.6315789473684208</v>
      </c>
    </row>
    <row r="15" spans="1:11" x14ac:dyDescent="0.3">
      <c r="A15" s="3">
        <v>46104</v>
      </c>
      <c r="B15" s="4" t="s">
        <v>12</v>
      </c>
      <c r="C15" s="4" t="s">
        <v>14</v>
      </c>
      <c r="D15" s="4">
        <v>56000</v>
      </c>
      <c r="E15" s="4">
        <v>55000</v>
      </c>
      <c r="F15" s="4">
        <v>970</v>
      </c>
      <c r="G15" s="4">
        <v>93</v>
      </c>
      <c r="H15" s="4">
        <v>18</v>
      </c>
      <c r="I15" s="4">
        <v>560</v>
      </c>
      <c r="J15" s="4">
        <f>EnergyData[[#This Row],[Generation_MWh]]-EnergyData[[#This Row],[Consumption_MWh]]</f>
        <v>1000</v>
      </c>
      <c r="K15" s="4">
        <f>EnergyData[[#This Row],[Line_Loss_MWh]]/EnergyData[[#This Row],[Generation_MWh]]*100</f>
        <v>1.7857142857142856</v>
      </c>
    </row>
    <row r="16" spans="1:11" x14ac:dyDescent="0.3">
      <c r="A16" s="3">
        <v>46104</v>
      </c>
      <c r="B16" s="4" t="s">
        <v>13</v>
      </c>
      <c r="C16" s="4" t="s">
        <v>11</v>
      </c>
      <c r="D16" s="4">
        <v>23000</v>
      </c>
      <c r="E16" s="4">
        <v>22500</v>
      </c>
      <c r="F16" s="4">
        <v>600</v>
      </c>
      <c r="G16" s="4">
        <v>67</v>
      </c>
      <c r="H16" s="4">
        <v>52</v>
      </c>
      <c r="I16" s="4">
        <v>11500</v>
      </c>
      <c r="J16" s="4">
        <f>EnergyData[[#This Row],[Generation_MWh]]-EnergyData[[#This Row],[Consumption_MWh]]</f>
        <v>500</v>
      </c>
      <c r="K16" s="4">
        <f>EnergyData[[#This Row],[Line_Loss_MWh]]/EnergyData[[#This Row],[Generation_MWh]]*100</f>
        <v>2.1739130434782608</v>
      </c>
    </row>
    <row r="17" spans="1:11" x14ac:dyDescent="0.3">
      <c r="A17" s="3">
        <v>46135</v>
      </c>
      <c r="B17" s="4" t="s">
        <v>9</v>
      </c>
      <c r="C17" s="4" t="s">
        <v>10</v>
      </c>
      <c r="D17" s="4">
        <v>20000</v>
      </c>
      <c r="E17" s="4">
        <v>19500</v>
      </c>
      <c r="F17" s="4">
        <v>900</v>
      </c>
      <c r="G17" s="4">
        <v>24</v>
      </c>
      <c r="H17" s="4">
        <v>27</v>
      </c>
      <c r="I17" s="4">
        <v>400</v>
      </c>
      <c r="J17" s="4">
        <f>EnergyData[[#This Row],[Generation_MWh]]-EnergyData[[#This Row],[Consumption_MWh]]</f>
        <v>500</v>
      </c>
      <c r="K17" s="4">
        <f>EnergyData[[#This Row],[Line_Loss_MWh]]/EnergyData[[#This Row],[Generation_MWh]]*100</f>
        <v>2.5</v>
      </c>
    </row>
    <row r="18" spans="1:11" x14ac:dyDescent="0.3">
      <c r="A18" s="3">
        <v>46135</v>
      </c>
      <c r="B18" s="4" t="s">
        <v>9</v>
      </c>
      <c r="C18" s="4" t="s">
        <v>11</v>
      </c>
      <c r="D18" s="4">
        <v>48000</v>
      </c>
      <c r="E18" s="4">
        <v>47000</v>
      </c>
      <c r="F18" s="4">
        <v>900</v>
      </c>
      <c r="G18" s="4">
        <v>72</v>
      </c>
      <c r="H18" s="4">
        <v>53</v>
      </c>
      <c r="I18" s="4">
        <v>24000</v>
      </c>
      <c r="J18" s="4">
        <f>EnergyData[[#This Row],[Generation_MWh]]-EnergyData[[#This Row],[Consumption_MWh]]</f>
        <v>1000</v>
      </c>
      <c r="K18" s="4">
        <f>EnergyData[[#This Row],[Line_Loss_MWh]]/EnergyData[[#This Row],[Generation_MWh]]*100</f>
        <v>2.083333333333333</v>
      </c>
    </row>
    <row r="19" spans="1:11" x14ac:dyDescent="0.3">
      <c r="A19" s="3">
        <v>46135</v>
      </c>
      <c r="B19" s="4" t="s">
        <v>12</v>
      </c>
      <c r="C19" s="4" t="s">
        <v>10</v>
      </c>
      <c r="D19" s="4">
        <v>22000</v>
      </c>
      <c r="E19" s="4">
        <v>21500</v>
      </c>
      <c r="F19" s="4">
        <v>1000</v>
      </c>
      <c r="G19" s="4">
        <v>25</v>
      </c>
      <c r="H19" s="4">
        <v>26</v>
      </c>
      <c r="I19" s="4">
        <v>440</v>
      </c>
      <c r="J19" s="4">
        <f>EnergyData[[#This Row],[Generation_MWh]]-EnergyData[[#This Row],[Consumption_MWh]]</f>
        <v>500</v>
      </c>
      <c r="K19" s="4">
        <f>EnergyData[[#This Row],[Line_Loss_MWh]]/EnergyData[[#This Row],[Generation_MWh]]*100</f>
        <v>2.2727272727272729</v>
      </c>
    </row>
    <row r="20" spans="1:11" x14ac:dyDescent="0.3">
      <c r="A20" s="3">
        <v>46135</v>
      </c>
      <c r="B20" s="4" t="s">
        <v>12</v>
      </c>
      <c r="C20" s="4" t="s">
        <v>14</v>
      </c>
      <c r="D20" s="4">
        <v>57000</v>
      </c>
      <c r="E20" s="4">
        <v>56000</v>
      </c>
      <c r="F20" s="4">
        <v>1000</v>
      </c>
      <c r="G20" s="4">
        <v>94</v>
      </c>
      <c r="H20" s="4">
        <v>18</v>
      </c>
      <c r="I20" s="4">
        <v>570</v>
      </c>
      <c r="J20" s="4">
        <f>EnergyData[[#This Row],[Generation_MWh]]-EnergyData[[#This Row],[Consumption_MWh]]</f>
        <v>1000</v>
      </c>
      <c r="K20" s="4">
        <f>EnergyData[[#This Row],[Line_Loss_MWh]]/EnergyData[[#This Row],[Generation_MWh]]*100</f>
        <v>1.7543859649122806</v>
      </c>
    </row>
    <row r="21" spans="1:11" x14ac:dyDescent="0.3">
      <c r="A21" s="3">
        <v>46135</v>
      </c>
      <c r="B21" s="4" t="s">
        <v>13</v>
      </c>
      <c r="C21" s="4" t="s">
        <v>11</v>
      </c>
      <c r="D21" s="4">
        <v>24000</v>
      </c>
      <c r="E21" s="4">
        <v>23500</v>
      </c>
      <c r="F21" s="4">
        <v>620</v>
      </c>
      <c r="G21" s="4">
        <v>69</v>
      </c>
      <c r="H21" s="4">
        <v>52</v>
      </c>
      <c r="I21" s="4">
        <v>12000</v>
      </c>
      <c r="J21" s="4">
        <f>EnergyData[[#This Row],[Generation_MWh]]-EnergyData[[#This Row],[Consumption_MWh]]</f>
        <v>500</v>
      </c>
      <c r="K21" s="4">
        <f>EnergyData[[#This Row],[Line_Loss_MWh]]/EnergyData[[#This Row],[Generation_MWh]]*100</f>
        <v>2.083333333333333</v>
      </c>
    </row>
    <row r="22" spans="1:11" x14ac:dyDescent="0.3">
      <c r="A22" s="3">
        <v>46165</v>
      </c>
      <c r="B22" s="4" t="s">
        <v>9</v>
      </c>
      <c r="C22" s="4" t="s">
        <v>10</v>
      </c>
      <c r="D22" s="4">
        <v>24000</v>
      </c>
      <c r="E22" s="4">
        <v>23500</v>
      </c>
      <c r="F22" s="4">
        <v>980</v>
      </c>
      <c r="G22" s="4">
        <v>29</v>
      </c>
      <c r="H22" s="4">
        <v>26</v>
      </c>
      <c r="I22" s="4">
        <v>480</v>
      </c>
      <c r="J22" s="4">
        <f>EnergyData[[#This Row],[Generation_MWh]]-EnergyData[[#This Row],[Consumption_MWh]]</f>
        <v>500</v>
      </c>
      <c r="K22" s="4">
        <f>EnergyData[[#This Row],[Line_Loss_MWh]]/EnergyData[[#This Row],[Generation_MWh]]*100</f>
        <v>2.083333333333333</v>
      </c>
    </row>
    <row r="23" spans="1:11" x14ac:dyDescent="0.3">
      <c r="A23" s="3">
        <v>46165</v>
      </c>
      <c r="B23" s="4" t="s">
        <v>9</v>
      </c>
      <c r="C23" s="4" t="s">
        <v>11</v>
      </c>
      <c r="D23" s="4">
        <v>52000</v>
      </c>
      <c r="E23" s="4">
        <v>51000</v>
      </c>
      <c r="F23" s="4">
        <v>980</v>
      </c>
      <c r="G23" s="4">
        <v>75</v>
      </c>
      <c r="H23" s="4">
        <v>54</v>
      </c>
      <c r="I23" s="4">
        <v>26000</v>
      </c>
      <c r="J23" s="4">
        <f>EnergyData[[#This Row],[Generation_MWh]]-EnergyData[[#This Row],[Consumption_MWh]]</f>
        <v>1000</v>
      </c>
      <c r="K23" s="4">
        <f>EnergyData[[#This Row],[Line_Loss_MWh]]/EnergyData[[#This Row],[Generation_MWh]]*100</f>
        <v>1.9230769230769231</v>
      </c>
    </row>
    <row r="24" spans="1:11" x14ac:dyDescent="0.3">
      <c r="A24" s="3">
        <v>46165</v>
      </c>
      <c r="B24" s="4" t="s">
        <v>12</v>
      </c>
      <c r="C24" s="4" t="s">
        <v>10</v>
      </c>
      <c r="D24" s="4">
        <v>26000</v>
      </c>
      <c r="E24" s="4">
        <v>25500</v>
      </c>
      <c r="F24" s="4">
        <v>1100</v>
      </c>
      <c r="G24" s="4">
        <v>30</v>
      </c>
      <c r="H24" s="4">
        <v>26</v>
      </c>
      <c r="I24" s="4">
        <v>520</v>
      </c>
      <c r="J24" s="4">
        <f>EnergyData[[#This Row],[Generation_MWh]]-EnergyData[[#This Row],[Consumption_MWh]]</f>
        <v>500</v>
      </c>
      <c r="K24" s="4">
        <f>EnergyData[[#This Row],[Line_Loss_MWh]]/EnergyData[[#This Row],[Generation_MWh]]*100</f>
        <v>1.9230769230769231</v>
      </c>
    </row>
    <row r="25" spans="1:11" x14ac:dyDescent="0.3">
      <c r="A25" s="3">
        <v>46165</v>
      </c>
      <c r="B25" s="4" t="s">
        <v>12</v>
      </c>
      <c r="C25" s="4" t="s">
        <v>14</v>
      </c>
      <c r="D25" s="4">
        <v>58000</v>
      </c>
      <c r="E25" s="4">
        <v>57000</v>
      </c>
      <c r="F25" s="4">
        <v>1100</v>
      </c>
      <c r="G25" s="4">
        <v>95</v>
      </c>
      <c r="H25" s="4">
        <v>18</v>
      </c>
      <c r="I25" s="4">
        <v>580</v>
      </c>
      <c r="J25" s="4">
        <f>EnergyData[[#This Row],[Generation_MWh]]-EnergyData[[#This Row],[Consumption_MWh]]</f>
        <v>1000</v>
      </c>
      <c r="K25" s="4">
        <f>EnergyData[[#This Row],[Line_Loss_MWh]]/EnergyData[[#This Row],[Generation_MWh]]*100</f>
        <v>1.7241379310344827</v>
      </c>
    </row>
    <row r="26" spans="1:11" x14ac:dyDescent="0.3">
      <c r="A26" s="3">
        <v>46165</v>
      </c>
      <c r="B26" s="4" t="s">
        <v>13</v>
      </c>
      <c r="C26" s="4" t="s">
        <v>11</v>
      </c>
      <c r="D26" s="4">
        <v>26000</v>
      </c>
      <c r="E26" s="4">
        <v>25500</v>
      </c>
      <c r="F26" s="4">
        <v>680</v>
      </c>
      <c r="G26" s="4">
        <v>72</v>
      </c>
      <c r="H26" s="4">
        <v>53</v>
      </c>
      <c r="I26" s="4">
        <v>13000</v>
      </c>
      <c r="J26" s="4">
        <f>EnergyData[[#This Row],[Generation_MWh]]-EnergyData[[#This Row],[Consumption_MWh]]</f>
        <v>500</v>
      </c>
      <c r="K26" s="4">
        <f>EnergyData[[#This Row],[Line_Loss_MWh]]/EnergyData[[#This Row],[Generation_MWh]]*100</f>
        <v>1.9230769230769231</v>
      </c>
    </row>
    <row r="27" spans="1:11" x14ac:dyDescent="0.3">
      <c r="A27" s="3">
        <v>46196</v>
      </c>
      <c r="B27" s="4" t="s">
        <v>9</v>
      </c>
      <c r="C27" s="4" t="s">
        <v>10</v>
      </c>
      <c r="D27" s="4">
        <v>27000</v>
      </c>
      <c r="E27" s="4">
        <v>26500</v>
      </c>
      <c r="F27" s="4">
        <v>1150</v>
      </c>
      <c r="G27" s="4">
        <v>32</v>
      </c>
      <c r="H27" s="4">
        <v>26</v>
      </c>
      <c r="I27" s="4">
        <v>540</v>
      </c>
      <c r="J27" s="4">
        <f>EnergyData[[#This Row],[Generation_MWh]]-EnergyData[[#This Row],[Consumption_MWh]]</f>
        <v>500</v>
      </c>
      <c r="K27" s="4">
        <f>EnergyData[[#This Row],[Line_Loss_MWh]]/EnergyData[[#This Row],[Generation_MWh]]*100</f>
        <v>1.8518518518518516</v>
      </c>
    </row>
    <row r="28" spans="1:11" x14ac:dyDescent="0.3">
      <c r="A28" s="3">
        <v>46196</v>
      </c>
      <c r="B28" s="4" t="s">
        <v>9</v>
      </c>
      <c r="C28" s="4" t="s">
        <v>11</v>
      </c>
      <c r="D28" s="4">
        <v>58000</v>
      </c>
      <c r="E28" s="4">
        <v>57000</v>
      </c>
      <c r="F28" s="4">
        <v>1150</v>
      </c>
      <c r="G28" s="4">
        <v>82</v>
      </c>
      <c r="H28" s="4">
        <v>56</v>
      </c>
      <c r="I28" s="4">
        <v>29000</v>
      </c>
      <c r="J28" s="4">
        <f>EnergyData[[#This Row],[Generation_MWh]]-EnergyData[[#This Row],[Consumption_MWh]]</f>
        <v>1000</v>
      </c>
      <c r="K28" s="4">
        <f>EnergyData[[#This Row],[Line_Loss_MWh]]/EnergyData[[#This Row],[Generation_MWh]]*100</f>
        <v>1.7241379310344827</v>
      </c>
    </row>
    <row r="29" spans="1:11" x14ac:dyDescent="0.3">
      <c r="A29" s="3">
        <v>46196</v>
      </c>
      <c r="B29" s="4" t="s">
        <v>12</v>
      </c>
      <c r="C29" s="4" t="s">
        <v>10</v>
      </c>
      <c r="D29" s="4">
        <v>29000</v>
      </c>
      <c r="E29" s="4">
        <v>28500</v>
      </c>
      <c r="F29" s="4">
        <v>1280</v>
      </c>
      <c r="G29" s="4">
        <v>34</v>
      </c>
      <c r="H29" s="4">
        <v>25</v>
      </c>
      <c r="I29" s="4">
        <v>580</v>
      </c>
      <c r="J29" s="4">
        <f>EnergyData[[#This Row],[Generation_MWh]]-EnergyData[[#This Row],[Consumption_MWh]]</f>
        <v>500</v>
      </c>
      <c r="K29" s="4">
        <f>EnergyData[[#This Row],[Line_Loss_MWh]]/EnergyData[[#This Row],[Generation_MWh]]*100</f>
        <v>1.7241379310344827</v>
      </c>
    </row>
    <row r="30" spans="1:11" x14ac:dyDescent="0.3">
      <c r="A30" s="3">
        <v>46196</v>
      </c>
      <c r="B30" s="4" t="s">
        <v>12</v>
      </c>
      <c r="C30" s="4" t="s">
        <v>14</v>
      </c>
      <c r="D30" s="4">
        <v>59000</v>
      </c>
      <c r="E30" s="4">
        <v>58000</v>
      </c>
      <c r="F30" s="4">
        <v>1280</v>
      </c>
      <c r="G30" s="4">
        <v>96</v>
      </c>
      <c r="H30" s="4">
        <v>18</v>
      </c>
      <c r="I30" s="4">
        <v>590</v>
      </c>
      <c r="J30" s="4">
        <f>EnergyData[[#This Row],[Generation_MWh]]-EnergyData[[#This Row],[Consumption_MWh]]</f>
        <v>1000</v>
      </c>
      <c r="K30" s="4">
        <f>EnergyData[[#This Row],[Line_Loss_MWh]]/EnergyData[[#This Row],[Generation_MWh]]*100</f>
        <v>1.6949152542372881</v>
      </c>
    </row>
    <row r="31" spans="1:11" x14ac:dyDescent="0.3">
      <c r="A31" s="3">
        <v>46196</v>
      </c>
      <c r="B31" s="4" t="s">
        <v>13</v>
      </c>
      <c r="C31" s="4" t="s">
        <v>11</v>
      </c>
      <c r="D31" s="4">
        <v>29000</v>
      </c>
      <c r="E31" s="4">
        <v>28500</v>
      </c>
      <c r="F31" s="4">
        <v>780</v>
      </c>
      <c r="G31" s="4">
        <v>78</v>
      </c>
      <c r="H31" s="4">
        <v>55</v>
      </c>
      <c r="I31" s="4">
        <v>14500</v>
      </c>
      <c r="J31" s="4">
        <f>EnergyData[[#This Row],[Generation_MWh]]-EnergyData[[#This Row],[Consumption_MWh]]</f>
        <v>500</v>
      </c>
      <c r="K31" s="4">
        <f>EnergyData[[#This Row],[Line_Loss_MWh]]/EnergyData[[#This Row],[Generation_MWh]]*100</f>
        <v>1.7241379310344827</v>
      </c>
    </row>
    <row r="32" spans="1:11" x14ac:dyDescent="0.3">
      <c r="A32" s="3">
        <v>46226</v>
      </c>
      <c r="B32" s="4" t="s">
        <v>9</v>
      </c>
      <c r="C32" s="4" t="s">
        <v>10</v>
      </c>
      <c r="D32" s="4">
        <v>28000</v>
      </c>
      <c r="E32" s="4">
        <v>27500</v>
      </c>
      <c r="F32" s="4">
        <v>1250</v>
      </c>
      <c r="G32" s="4">
        <v>33</v>
      </c>
      <c r="H32" s="4">
        <v>26</v>
      </c>
      <c r="I32" s="4">
        <v>560</v>
      </c>
      <c r="J32" s="4">
        <f>EnergyData[[#This Row],[Generation_MWh]]-EnergyData[[#This Row],[Consumption_MWh]]</f>
        <v>500</v>
      </c>
      <c r="K32" s="4">
        <f>EnergyData[[#This Row],[Line_Loss_MWh]]/EnergyData[[#This Row],[Generation_MWh]]*100</f>
        <v>1.7857142857142856</v>
      </c>
    </row>
    <row r="33" spans="1:11" x14ac:dyDescent="0.3">
      <c r="A33" s="3">
        <v>46226</v>
      </c>
      <c r="B33" s="4" t="s">
        <v>9</v>
      </c>
      <c r="C33" s="4" t="s">
        <v>11</v>
      </c>
      <c r="D33" s="4">
        <v>62000</v>
      </c>
      <c r="E33" s="4">
        <v>61000</v>
      </c>
      <c r="F33" s="4">
        <v>1250</v>
      </c>
      <c r="G33" s="4">
        <v>88</v>
      </c>
      <c r="H33" s="4">
        <v>58</v>
      </c>
      <c r="I33" s="4">
        <v>31000</v>
      </c>
      <c r="J33" s="4">
        <f>EnergyData[[#This Row],[Generation_MWh]]-EnergyData[[#This Row],[Consumption_MWh]]</f>
        <v>1000</v>
      </c>
      <c r="K33" s="4">
        <f>EnergyData[[#This Row],[Line_Loss_MWh]]/EnergyData[[#This Row],[Generation_MWh]]*100</f>
        <v>1.6129032258064515</v>
      </c>
    </row>
    <row r="34" spans="1:11" x14ac:dyDescent="0.3">
      <c r="A34" s="3">
        <v>46226</v>
      </c>
      <c r="B34" s="4" t="s">
        <v>12</v>
      </c>
      <c r="C34" s="4" t="s">
        <v>10</v>
      </c>
      <c r="D34" s="4">
        <v>30000</v>
      </c>
      <c r="E34" s="4">
        <v>29500</v>
      </c>
      <c r="F34" s="4">
        <v>1380</v>
      </c>
      <c r="G34" s="4">
        <v>36</v>
      </c>
      <c r="H34" s="4">
        <v>25</v>
      </c>
      <c r="I34" s="4">
        <v>600</v>
      </c>
      <c r="J34" s="4">
        <f>EnergyData[[#This Row],[Generation_MWh]]-EnergyData[[#This Row],[Consumption_MWh]]</f>
        <v>500</v>
      </c>
      <c r="K34" s="4">
        <f>EnergyData[[#This Row],[Line_Loss_MWh]]/EnergyData[[#This Row],[Generation_MWh]]*100</f>
        <v>1.6666666666666667</v>
      </c>
    </row>
    <row r="35" spans="1:11" x14ac:dyDescent="0.3">
      <c r="A35" s="3">
        <v>46226</v>
      </c>
      <c r="B35" s="4" t="s">
        <v>12</v>
      </c>
      <c r="C35" s="4" t="s">
        <v>14</v>
      </c>
      <c r="D35" s="4">
        <v>60000</v>
      </c>
      <c r="E35" s="4">
        <v>59000</v>
      </c>
      <c r="F35" s="4">
        <v>1380</v>
      </c>
      <c r="G35" s="4">
        <v>96</v>
      </c>
      <c r="H35" s="4">
        <v>18</v>
      </c>
      <c r="I35" s="4">
        <v>600</v>
      </c>
      <c r="J35" s="4">
        <f>EnergyData[[#This Row],[Generation_MWh]]-EnergyData[[#This Row],[Consumption_MWh]]</f>
        <v>1000</v>
      </c>
      <c r="K35" s="4">
        <f>EnergyData[[#This Row],[Line_Loss_MWh]]/EnergyData[[#This Row],[Generation_MWh]]*100</f>
        <v>1.6666666666666667</v>
      </c>
    </row>
    <row r="36" spans="1:11" x14ac:dyDescent="0.3">
      <c r="A36" s="3">
        <v>46226</v>
      </c>
      <c r="B36" s="4" t="s">
        <v>13</v>
      </c>
      <c r="C36" s="4" t="s">
        <v>11</v>
      </c>
      <c r="D36" s="4">
        <v>31000</v>
      </c>
      <c r="E36" s="4">
        <v>30500</v>
      </c>
      <c r="F36" s="4">
        <v>850</v>
      </c>
      <c r="G36" s="4">
        <v>82</v>
      </c>
      <c r="H36" s="4">
        <v>57</v>
      </c>
      <c r="I36" s="4">
        <v>15500</v>
      </c>
      <c r="J36" s="4">
        <f>EnergyData[[#This Row],[Generation_MWh]]-EnergyData[[#This Row],[Consumption_MWh]]</f>
        <v>500</v>
      </c>
      <c r="K36" s="4">
        <f>EnergyData[[#This Row],[Line_Loss_MWh]]/EnergyData[[#This Row],[Generation_MWh]]*100</f>
        <v>1.6129032258064515</v>
      </c>
    </row>
    <row r="37" spans="1:11" x14ac:dyDescent="0.3">
      <c r="A37" s="3">
        <v>46257</v>
      </c>
      <c r="B37" s="4" t="s">
        <v>9</v>
      </c>
      <c r="C37" s="4" t="s">
        <v>10</v>
      </c>
      <c r="D37" s="4">
        <v>27000</v>
      </c>
      <c r="E37" s="4">
        <v>26500</v>
      </c>
      <c r="F37" s="4">
        <v>1230</v>
      </c>
      <c r="G37" s="4">
        <v>32</v>
      </c>
      <c r="H37" s="4">
        <v>26</v>
      </c>
      <c r="I37" s="4">
        <v>540</v>
      </c>
      <c r="J37" s="4">
        <f>EnergyData[[#This Row],[Generation_MWh]]-EnergyData[[#This Row],[Consumption_MWh]]</f>
        <v>500</v>
      </c>
      <c r="K37" s="4">
        <f>EnergyData[[#This Row],[Line_Loss_MWh]]/EnergyData[[#This Row],[Generation_MWh]]*100</f>
        <v>1.8518518518518516</v>
      </c>
    </row>
    <row r="38" spans="1:11" x14ac:dyDescent="0.3">
      <c r="A38" s="3">
        <v>46257</v>
      </c>
      <c r="B38" s="4" t="s">
        <v>9</v>
      </c>
      <c r="C38" s="4" t="s">
        <v>11</v>
      </c>
      <c r="D38" s="4">
        <v>61000</v>
      </c>
      <c r="E38" s="4">
        <v>60000</v>
      </c>
      <c r="F38" s="4">
        <v>1230</v>
      </c>
      <c r="G38" s="4">
        <v>87</v>
      </c>
      <c r="H38" s="4">
        <v>58</v>
      </c>
      <c r="I38" s="4">
        <v>30500</v>
      </c>
      <c r="J38" s="4">
        <f>EnergyData[[#This Row],[Generation_MWh]]-EnergyData[[#This Row],[Consumption_MWh]]</f>
        <v>1000</v>
      </c>
      <c r="K38" s="4">
        <f>EnergyData[[#This Row],[Line_Loss_MWh]]/EnergyData[[#This Row],[Generation_MWh]]*100</f>
        <v>1.639344262295082</v>
      </c>
    </row>
    <row r="39" spans="1:11" x14ac:dyDescent="0.3">
      <c r="A39" s="3">
        <v>46257</v>
      </c>
      <c r="B39" s="4" t="s">
        <v>12</v>
      </c>
      <c r="C39" s="4" t="s">
        <v>10</v>
      </c>
      <c r="D39" s="4">
        <v>29000</v>
      </c>
      <c r="E39" s="4">
        <v>28500</v>
      </c>
      <c r="F39" s="4">
        <v>1350</v>
      </c>
      <c r="G39" s="4">
        <v>35</v>
      </c>
      <c r="H39" s="4">
        <v>25</v>
      </c>
      <c r="I39" s="4">
        <v>580</v>
      </c>
      <c r="J39" s="4">
        <f>EnergyData[[#This Row],[Generation_MWh]]-EnergyData[[#This Row],[Consumption_MWh]]</f>
        <v>500</v>
      </c>
      <c r="K39" s="4">
        <f>EnergyData[[#This Row],[Line_Loss_MWh]]/EnergyData[[#This Row],[Generation_MWh]]*100</f>
        <v>1.7241379310344827</v>
      </c>
    </row>
    <row r="40" spans="1:11" x14ac:dyDescent="0.3">
      <c r="A40" s="3">
        <v>46257</v>
      </c>
      <c r="B40" s="4" t="s">
        <v>12</v>
      </c>
      <c r="C40" s="4" t="s">
        <v>14</v>
      </c>
      <c r="D40" s="4">
        <v>60000</v>
      </c>
      <c r="E40" s="4">
        <v>59000</v>
      </c>
      <c r="F40" s="4">
        <v>1350</v>
      </c>
      <c r="G40" s="4">
        <v>96</v>
      </c>
      <c r="H40" s="4">
        <v>18</v>
      </c>
      <c r="I40" s="4">
        <v>600</v>
      </c>
      <c r="J40" s="4">
        <f>EnergyData[[#This Row],[Generation_MWh]]-EnergyData[[#This Row],[Consumption_MWh]]</f>
        <v>1000</v>
      </c>
      <c r="K40" s="4">
        <f>EnergyData[[#This Row],[Line_Loss_MWh]]/EnergyData[[#This Row],[Generation_MWh]]*100</f>
        <v>1.6666666666666667</v>
      </c>
    </row>
    <row r="41" spans="1:11" x14ac:dyDescent="0.3">
      <c r="A41" s="3">
        <v>46257</v>
      </c>
      <c r="B41" s="4" t="s">
        <v>13</v>
      </c>
      <c r="C41" s="4" t="s">
        <v>11</v>
      </c>
      <c r="D41" s="4">
        <v>30000</v>
      </c>
      <c r="E41" s="4">
        <v>29500</v>
      </c>
      <c r="F41" s="4">
        <v>830</v>
      </c>
      <c r="G41" s="4">
        <v>80</v>
      </c>
      <c r="H41" s="4">
        <v>57</v>
      </c>
      <c r="I41" s="4">
        <v>15000</v>
      </c>
      <c r="J41" s="4">
        <f>EnergyData[[#This Row],[Generation_MWh]]-EnergyData[[#This Row],[Consumption_MWh]]</f>
        <v>500</v>
      </c>
      <c r="K41" s="4">
        <f>EnergyData[[#This Row],[Line_Loss_MWh]]/EnergyData[[#This Row],[Generation_MWh]]*100</f>
        <v>1.6666666666666667</v>
      </c>
    </row>
    <row r="42" spans="1:11" x14ac:dyDescent="0.3">
      <c r="A42" s="3">
        <v>46288</v>
      </c>
      <c r="B42" s="4" t="s">
        <v>9</v>
      </c>
      <c r="C42" s="4" t="s">
        <v>10</v>
      </c>
      <c r="D42" s="4">
        <v>24000</v>
      </c>
      <c r="E42" s="4">
        <v>23500</v>
      </c>
      <c r="F42" s="4">
        <v>1100</v>
      </c>
      <c r="G42" s="4">
        <v>29</v>
      </c>
      <c r="H42" s="4">
        <v>27</v>
      </c>
      <c r="I42" s="4">
        <v>480</v>
      </c>
      <c r="J42" s="4">
        <f>EnergyData[[#This Row],[Generation_MWh]]-EnergyData[[#This Row],[Consumption_MWh]]</f>
        <v>500</v>
      </c>
      <c r="K42" s="4">
        <f>EnergyData[[#This Row],[Line_Loss_MWh]]/EnergyData[[#This Row],[Generation_MWh]]*100</f>
        <v>2.083333333333333</v>
      </c>
    </row>
    <row r="43" spans="1:11" x14ac:dyDescent="0.3">
      <c r="A43" s="3">
        <v>46288</v>
      </c>
      <c r="B43" s="4" t="s">
        <v>9</v>
      </c>
      <c r="C43" s="4" t="s">
        <v>11</v>
      </c>
      <c r="D43" s="4">
        <v>55000</v>
      </c>
      <c r="E43" s="4">
        <v>54000</v>
      </c>
      <c r="F43" s="4">
        <v>1100</v>
      </c>
      <c r="G43" s="4">
        <v>79</v>
      </c>
      <c r="H43" s="4">
        <v>56</v>
      </c>
      <c r="I43" s="4">
        <v>27500</v>
      </c>
      <c r="J43" s="4">
        <f>EnergyData[[#This Row],[Generation_MWh]]-EnergyData[[#This Row],[Consumption_MWh]]</f>
        <v>1000</v>
      </c>
      <c r="K43" s="4">
        <f>EnergyData[[#This Row],[Line_Loss_MWh]]/EnergyData[[#This Row],[Generation_MWh]]*100</f>
        <v>1.8181818181818181</v>
      </c>
    </row>
    <row r="44" spans="1:11" x14ac:dyDescent="0.3">
      <c r="A44" s="3">
        <v>46288</v>
      </c>
      <c r="B44" s="4" t="s">
        <v>12</v>
      </c>
      <c r="C44" s="4" t="s">
        <v>10</v>
      </c>
      <c r="D44" s="4">
        <v>26000</v>
      </c>
      <c r="E44" s="4">
        <v>25500</v>
      </c>
      <c r="F44" s="4">
        <v>1200</v>
      </c>
      <c r="G44" s="4">
        <v>30</v>
      </c>
      <c r="H44" s="4">
        <v>26</v>
      </c>
      <c r="I44" s="4">
        <v>520</v>
      </c>
      <c r="J44" s="4">
        <f>EnergyData[[#This Row],[Generation_MWh]]-EnergyData[[#This Row],[Consumption_MWh]]</f>
        <v>500</v>
      </c>
      <c r="K44" s="4">
        <f>EnergyData[[#This Row],[Line_Loss_MWh]]/EnergyData[[#This Row],[Generation_MWh]]*100</f>
        <v>1.9230769230769231</v>
      </c>
    </row>
    <row r="45" spans="1:11" x14ac:dyDescent="0.3">
      <c r="A45" s="3">
        <v>46288</v>
      </c>
      <c r="B45" s="4" t="s">
        <v>12</v>
      </c>
      <c r="C45" s="4" t="s">
        <v>14</v>
      </c>
      <c r="D45" s="4">
        <v>58000</v>
      </c>
      <c r="E45" s="4">
        <v>57000</v>
      </c>
      <c r="F45" s="4">
        <v>1200</v>
      </c>
      <c r="G45" s="4">
        <v>95</v>
      </c>
      <c r="H45" s="4">
        <v>18</v>
      </c>
      <c r="I45" s="4">
        <v>580</v>
      </c>
      <c r="J45" s="4">
        <f>EnergyData[[#This Row],[Generation_MWh]]-EnergyData[[#This Row],[Consumption_MWh]]</f>
        <v>1000</v>
      </c>
      <c r="K45" s="4">
        <f>EnergyData[[#This Row],[Line_Loss_MWh]]/EnergyData[[#This Row],[Generation_MWh]]*100</f>
        <v>1.7241379310344827</v>
      </c>
    </row>
    <row r="46" spans="1:11" x14ac:dyDescent="0.3">
      <c r="A46" s="3">
        <v>46288</v>
      </c>
      <c r="B46" s="4" t="s">
        <v>13</v>
      </c>
      <c r="C46" s="4" t="s">
        <v>11</v>
      </c>
      <c r="D46" s="4">
        <v>27000</v>
      </c>
      <c r="E46" s="4">
        <v>26500</v>
      </c>
      <c r="F46" s="4">
        <v>720</v>
      </c>
      <c r="G46" s="4">
        <v>74</v>
      </c>
      <c r="H46" s="4">
        <v>55</v>
      </c>
      <c r="I46" s="4">
        <v>13500</v>
      </c>
      <c r="J46" s="4">
        <f>EnergyData[[#This Row],[Generation_MWh]]-EnergyData[[#This Row],[Consumption_MWh]]</f>
        <v>500</v>
      </c>
      <c r="K46" s="4">
        <f>EnergyData[[#This Row],[Line_Loss_MWh]]/EnergyData[[#This Row],[Generation_MWh]]*100</f>
        <v>1.8518518518518516</v>
      </c>
    </row>
    <row r="47" spans="1:11" x14ac:dyDescent="0.3">
      <c r="A47" s="3">
        <v>46318</v>
      </c>
      <c r="B47" s="4" t="s">
        <v>9</v>
      </c>
      <c r="C47" s="4" t="s">
        <v>10</v>
      </c>
      <c r="D47" s="4">
        <v>20000</v>
      </c>
      <c r="E47" s="4">
        <v>19500</v>
      </c>
      <c r="F47" s="4">
        <v>950</v>
      </c>
      <c r="G47" s="4">
        <v>24</v>
      </c>
      <c r="H47" s="4">
        <v>27</v>
      </c>
      <c r="I47" s="4">
        <v>400</v>
      </c>
      <c r="J47" s="4">
        <f>EnergyData[[#This Row],[Generation_MWh]]-EnergyData[[#This Row],[Consumption_MWh]]</f>
        <v>500</v>
      </c>
      <c r="K47" s="4">
        <f>EnergyData[[#This Row],[Line_Loss_MWh]]/EnergyData[[#This Row],[Generation_MWh]]*100</f>
        <v>2.5</v>
      </c>
    </row>
    <row r="48" spans="1:11" x14ac:dyDescent="0.3">
      <c r="A48" s="3">
        <v>46318</v>
      </c>
      <c r="B48" s="4" t="s">
        <v>9</v>
      </c>
      <c r="C48" s="4" t="s">
        <v>11</v>
      </c>
      <c r="D48" s="4">
        <v>49000</v>
      </c>
      <c r="E48" s="4">
        <v>48000</v>
      </c>
      <c r="F48" s="4">
        <v>950</v>
      </c>
      <c r="G48" s="4">
        <v>73</v>
      </c>
      <c r="H48" s="4">
        <v>54</v>
      </c>
      <c r="I48" s="4">
        <v>24500</v>
      </c>
      <c r="J48" s="4">
        <f>EnergyData[[#This Row],[Generation_MWh]]-EnergyData[[#This Row],[Consumption_MWh]]</f>
        <v>1000</v>
      </c>
      <c r="K48" s="4">
        <f>EnergyData[[#This Row],[Line_Loss_MWh]]/EnergyData[[#This Row],[Generation_MWh]]*100</f>
        <v>2.0408163265306123</v>
      </c>
    </row>
    <row r="49" spans="1:11" x14ac:dyDescent="0.3">
      <c r="A49" s="3">
        <v>46318</v>
      </c>
      <c r="B49" s="4" t="s">
        <v>12</v>
      </c>
      <c r="C49" s="4" t="s">
        <v>10</v>
      </c>
      <c r="D49" s="4">
        <v>22000</v>
      </c>
      <c r="E49" s="4">
        <v>21500</v>
      </c>
      <c r="F49" s="4">
        <v>1050</v>
      </c>
      <c r="G49" s="4">
        <v>26</v>
      </c>
      <c r="H49" s="4">
        <v>26</v>
      </c>
      <c r="I49" s="4">
        <v>440</v>
      </c>
      <c r="J49" s="4">
        <f>EnergyData[[#This Row],[Generation_MWh]]-EnergyData[[#This Row],[Consumption_MWh]]</f>
        <v>500</v>
      </c>
      <c r="K49" s="4">
        <f>EnergyData[[#This Row],[Line_Loss_MWh]]/EnergyData[[#This Row],[Generation_MWh]]*100</f>
        <v>2.2727272727272729</v>
      </c>
    </row>
    <row r="50" spans="1:11" x14ac:dyDescent="0.3">
      <c r="A50" s="3">
        <v>46318</v>
      </c>
      <c r="B50" s="4" t="s">
        <v>12</v>
      </c>
      <c r="C50" s="4" t="s">
        <v>14</v>
      </c>
      <c r="D50" s="4">
        <v>57000</v>
      </c>
      <c r="E50" s="4">
        <v>56000</v>
      </c>
      <c r="F50" s="4">
        <v>1050</v>
      </c>
      <c r="G50" s="4">
        <v>94</v>
      </c>
      <c r="H50" s="4">
        <v>18</v>
      </c>
      <c r="I50" s="4">
        <v>570</v>
      </c>
      <c r="J50" s="4">
        <f>EnergyData[[#This Row],[Generation_MWh]]-EnergyData[[#This Row],[Consumption_MWh]]</f>
        <v>1000</v>
      </c>
      <c r="K50" s="4">
        <f>EnergyData[[#This Row],[Line_Loss_MWh]]/EnergyData[[#This Row],[Generation_MWh]]*100</f>
        <v>1.7543859649122806</v>
      </c>
    </row>
    <row r="51" spans="1:11" x14ac:dyDescent="0.3">
      <c r="A51" s="3">
        <v>46318</v>
      </c>
      <c r="B51" s="4" t="s">
        <v>13</v>
      </c>
      <c r="C51" s="4" t="s">
        <v>11</v>
      </c>
      <c r="D51" s="4">
        <v>25000</v>
      </c>
      <c r="E51" s="4">
        <v>24500</v>
      </c>
      <c r="F51" s="4">
        <v>650</v>
      </c>
      <c r="G51" s="4">
        <v>70</v>
      </c>
      <c r="H51" s="4">
        <v>53</v>
      </c>
      <c r="I51" s="4">
        <v>12500</v>
      </c>
      <c r="J51" s="4">
        <f>EnergyData[[#This Row],[Generation_MWh]]-EnergyData[[#This Row],[Consumption_MWh]]</f>
        <v>500</v>
      </c>
      <c r="K51" s="4">
        <f>EnergyData[[#This Row],[Line_Loss_MWh]]/EnergyData[[#This Row],[Generation_MWh]]*100</f>
        <v>2</v>
      </c>
    </row>
    <row r="52" spans="1:11" x14ac:dyDescent="0.3">
      <c r="A52" s="3">
        <v>46349</v>
      </c>
      <c r="B52" s="4" t="s">
        <v>9</v>
      </c>
      <c r="C52" s="4" t="s">
        <v>10</v>
      </c>
      <c r="D52" s="4">
        <v>16000</v>
      </c>
      <c r="E52" s="4">
        <v>15500</v>
      </c>
      <c r="F52" s="4">
        <v>880</v>
      </c>
      <c r="G52" s="4">
        <v>19</v>
      </c>
      <c r="H52" s="4">
        <v>28</v>
      </c>
      <c r="I52" s="4">
        <v>320</v>
      </c>
      <c r="J52" s="4">
        <f>EnergyData[[#This Row],[Generation_MWh]]-EnergyData[[#This Row],[Consumption_MWh]]</f>
        <v>500</v>
      </c>
      <c r="K52" s="4">
        <f>EnergyData[[#This Row],[Line_Loss_MWh]]/EnergyData[[#This Row],[Generation_MWh]]*100</f>
        <v>3.125</v>
      </c>
    </row>
    <row r="53" spans="1:11" x14ac:dyDescent="0.3">
      <c r="A53" s="3">
        <v>46349</v>
      </c>
      <c r="B53" s="4" t="s">
        <v>9</v>
      </c>
      <c r="C53" s="4" t="s">
        <v>11</v>
      </c>
      <c r="D53" s="4">
        <v>46000</v>
      </c>
      <c r="E53" s="4">
        <v>45000</v>
      </c>
      <c r="F53" s="4">
        <v>880</v>
      </c>
      <c r="G53" s="4">
        <v>70</v>
      </c>
      <c r="H53" s="4">
        <v>53</v>
      </c>
      <c r="I53" s="4">
        <v>23000</v>
      </c>
      <c r="J53" s="4">
        <f>EnergyData[[#This Row],[Generation_MWh]]-EnergyData[[#This Row],[Consumption_MWh]]</f>
        <v>1000</v>
      </c>
      <c r="K53" s="4">
        <f>EnergyData[[#This Row],[Line_Loss_MWh]]/EnergyData[[#This Row],[Generation_MWh]]*100</f>
        <v>2.1739130434782608</v>
      </c>
    </row>
    <row r="54" spans="1:11" x14ac:dyDescent="0.3">
      <c r="A54" s="3">
        <v>46349</v>
      </c>
      <c r="B54" s="4" t="s">
        <v>12</v>
      </c>
      <c r="C54" s="4" t="s">
        <v>10</v>
      </c>
      <c r="D54" s="4">
        <v>18000</v>
      </c>
      <c r="E54" s="4">
        <v>17500</v>
      </c>
      <c r="F54" s="4">
        <v>960</v>
      </c>
      <c r="G54" s="4">
        <v>21</v>
      </c>
      <c r="H54" s="4">
        <v>27</v>
      </c>
      <c r="I54" s="4">
        <v>360</v>
      </c>
      <c r="J54" s="4">
        <f>EnergyData[[#This Row],[Generation_MWh]]-EnergyData[[#This Row],[Consumption_MWh]]</f>
        <v>500</v>
      </c>
      <c r="K54" s="4">
        <f>EnergyData[[#This Row],[Line_Loss_MWh]]/EnergyData[[#This Row],[Generation_MWh]]*100</f>
        <v>2.7777777777777777</v>
      </c>
    </row>
    <row r="55" spans="1:11" x14ac:dyDescent="0.3">
      <c r="A55" s="3">
        <v>46349</v>
      </c>
      <c r="B55" s="4" t="s">
        <v>12</v>
      </c>
      <c r="C55" s="4" t="s">
        <v>14</v>
      </c>
      <c r="D55" s="4">
        <v>55000</v>
      </c>
      <c r="E55" s="4">
        <v>54000</v>
      </c>
      <c r="F55" s="4">
        <v>960</v>
      </c>
      <c r="G55" s="4">
        <v>92</v>
      </c>
      <c r="H55" s="4">
        <v>18</v>
      </c>
      <c r="I55" s="4">
        <v>550</v>
      </c>
      <c r="J55" s="4">
        <f>EnergyData[[#This Row],[Generation_MWh]]-EnergyData[[#This Row],[Consumption_MWh]]</f>
        <v>1000</v>
      </c>
      <c r="K55" s="4">
        <f>EnergyData[[#This Row],[Line_Loss_MWh]]/EnergyData[[#This Row],[Generation_MWh]]*100</f>
        <v>1.8181818181818181</v>
      </c>
    </row>
    <row r="56" spans="1:11" x14ac:dyDescent="0.3">
      <c r="A56" s="3">
        <v>46349</v>
      </c>
      <c r="B56" s="4" t="s">
        <v>13</v>
      </c>
      <c r="C56" s="4" t="s">
        <v>11</v>
      </c>
      <c r="D56" s="4">
        <v>23000</v>
      </c>
      <c r="E56" s="4">
        <v>22500</v>
      </c>
      <c r="F56" s="4">
        <v>600</v>
      </c>
      <c r="G56" s="4">
        <v>66</v>
      </c>
      <c r="H56" s="4">
        <v>52</v>
      </c>
      <c r="I56" s="4">
        <v>11500</v>
      </c>
      <c r="J56" s="4">
        <f>EnergyData[[#This Row],[Generation_MWh]]-EnergyData[[#This Row],[Consumption_MWh]]</f>
        <v>500</v>
      </c>
      <c r="K56" s="4">
        <f>EnergyData[[#This Row],[Line_Loss_MWh]]/EnergyData[[#This Row],[Generation_MWh]]*100</f>
        <v>2.1739130434782608</v>
      </c>
    </row>
    <row r="57" spans="1:11" x14ac:dyDescent="0.3">
      <c r="A57" s="3">
        <v>46379</v>
      </c>
      <c r="B57" s="4" t="s">
        <v>9</v>
      </c>
      <c r="C57" s="4" t="s">
        <v>10</v>
      </c>
      <c r="D57" s="4">
        <v>14000</v>
      </c>
      <c r="E57" s="4">
        <v>13500</v>
      </c>
      <c r="F57" s="4">
        <v>830</v>
      </c>
      <c r="G57" s="4">
        <v>17</v>
      </c>
      <c r="H57" s="4">
        <v>28</v>
      </c>
      <c r="I57" s="4">
        <v>280</v>
      </c>
      <c r="J57" s="4">
        <f>EnergyData[[#This Row],[Generation_MWh]]-EnergyData[[#This Row],[Consumption_MWh]]</f>
        <v>500</v>
      </c>
      <c r="K57" s="4">
        <f>EnergyData[[#This Row],[Line_Loss_MWh]]/EnergyData[[#This Row],[Generation_MWh]]*100</f>
        <v>3.5714285714285712</v>
      </c>
    </row>
    <row r="58" spans="1:11" x14ac:dyDescent="0.3">
      <c r="A58" s="3">
        <v>46379</v>
      </c>
      <c r="B58" s="4" t="s">
        <v>9</v>
      </c>
      <c r="C58" s="4" t="s">
        <v>11</v>
      </c>
      <c r="D58" s="4">
        <v>44000</v>
      </c>
      <c r="E58" s="4">
        <v>43000</v>
      </c>
      <c r="F58" s="4">
        <v>830</v>
      </c>
      <c r="G58" s="4">
        <v>67</v>
      </c>
      <c r="H58" s="4">
        <v>52</v>
      </c>
      <c r="I58" s="4">
        <v>22000</v>
      </c>
      <c r="J58" s="4">
        <f>EnergyData[[#This Row],[Generation_MWh]]-EnergyData[[#This Row],[Consumption_MWh]]</f>
        <v>1000</v>
      </c>
      <c r="K58" s="4">
        <f>EnergyData[[#This Row],[Line_Loss_MWh]]/EnergyData[[#This Row],[Generation_MWh]]*100</f>
        <v>2.2727272727272729</v>
      </c>
    </row>
    <row r="59" spans="1:11" x14ac:dyDescent="0.3">
      <c r="A59" s="3">
        <v>46379</v>
      </c>
      <c r="B59" s="4" t="s">
        <v>12</v>
      </c>
      <c r="C59" s="4" t="s">
        <v>10</v>
      </c>
      <c r="D59" s="4">
        <v>17000</v>
      </c>
      <c r="E59" s="4">
        <v>16500</v>
      </c>
      <c r="F59" s="4">
        <v>930</v>
      </c>
      <c r="G59" s="4">
        <v>20</v>
      </c>
      <c r="H59" s="4">
        <v>27</v>
      </c>
      <c r="I59" s="4">
        <v>340</v>
      </c>
      <c r="J59" s="4">
        <f>EnergyData[[#This Row],[Generation_MWh]]-EnergyData[[#This Row],[Consumption_MWh]]</f>
        <v>500</v>
      </c>
      <c r="K59" s="4">
        <f>EnergyData[[#This Row],[Line_Loss_MWh]]/EnergyData[[#This Row],[Generation_MWh]]*100</f>
        <v>2.9411764705882351</v>
      </c>
    </row>
    <row r="60" spans="1:11" x14ac:dyDescent="0.3">
      <c r="A60" s="3">
        <v>46379</v>
      </c>
      <c r="B60" s="4" t="s">
        <v>12</v>
      </c>
      <c r="C60" s="4" t="s">
        <v>14</v>
      </c>
      <c r="D60" s="4">
        <v>54000</v>
      </c>
      <c r="E60" s="4">
        <v>53000</v>
      </c>
      <c r="F60" s="4">
        <v>930</v>
      </c>
      <c r="G60" s="4">
        <v>91</v>
      </c>
      <c r="H60" s="4">
        <v>18</v>
      </c>
      <c r="I60" s="4">
        <v>540</v>
      </c>
      <c r="J60" s="4">
        <f>EnergyData[[#This Row],[Generation_MWh]]-EnergyData[[#This Row],[Consumption_MWh]]</f>
        <v>1000</v>
      </c>
      <c r="K60" s="4">
        <f>EnergyData[[#This Row],[Line_Loss_MWh]]/EnergyData[[#This Row],[Generation_MWh]]*100</f>
        <v>1.8518518518518516</v>
      </c>
    </row>
    <row r="61" spans="1:11" x14ac:dyDescent="0.3">
      <c r="A61" s="3">
        <v>46379</v>
      </c>
      <c r="B61" s="4" t="s">
        <v>13</v>
      </c>
      <c r="C61" s="4" t="s">
        <v>11</v>
      </c>
      <c r="D61" s="4">
        <v>22000</v>
      </c>
      <c r="E61" s="4">
        <v>21500</v>
      </c>
      <c r="F61" s="4">
        <v>580</v>
      </c>
      <c r="G61" s="4">
        <v>64</v>
      </c>
      <c r="H61" s="4">
        <v>51</v>
      </c>
      <c r="I61" s="4">
        <v>11000</v>
      </c>
      <c r="J61" s="4">
        <f>EnergyData[[#This Row],[Generation_MWh]]-EnergyData[[#This Row],[Consumption_MWh]]</f>
        <v>500</v>
      </c>
      <c r="K61" s="4">
        <f>EnergyData[[#This Row],[Line_Loss_MWh]]/EnergyData[[#This Row],[Generation_MWh]]*100</f>
        <v>2.2727272727272729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EC9D-4762-40FD-9DB6-0C69A0B1FEBC}">
  <dimension ref="A1:M14"/>
  <sheetViews>
    <sheetView zoomScaleNormal="100" workbookViewId="0">
      <selection activeCell="M13" sqref="M13"/>
    </sheetView>
  </sheetViews>
  <sheetFormatPr defaultRowHeight="14.4" x14ac:dyDescent="0.3"/>
  <cols>
    <col min="1" max="1" width="19.6640625" customWidth="1"/>
    <col min="4" max="4" width="12.44140625" bestFit="1" customWidth="1"/>
    <col min="5" max="5" width="23.33203125" bestFit="1" customWidth="1"/>
    <col min="8" max="8" width="12.44140625" bestFit="1" customWidth="1"/>
    <col min="9" max="9" width="21.44140625" bestFit="1" customWidth="1"/>
    <col min="10" max="10" width="23.33203125" bestFit="1" customWidth="1"/>
    <col min="12" max="12" width="12.44140625" bestFit="1" customWidth="1"/>
    <col min="13" max="13" width="22.6640625" bestFit="1" customWidth="1"/>
  </cols>
  <sheetData>
    <row r="1" spans="1:13" x14ac:dyDescent="0.3">
      <c r="A1" t="s">
        <v>17</v>
      </c>
      <c r="B1" t="s">
        <v>22</v>
      </c>
      <c r="D1" s="5" t="s">
        <v>23</v>
      </c>
      <c r="E1" t="s">
        <v>37</v>
      </c>
      <c r="H1" s="5" t="s">
        <v>23</v>
      </c>
      <c r="I1" t="s">
        <v>38</v>
      </c>
      <c r="J1" t="s">
        <v>37</v>
      </c>
      <c r="L1" s="5" t="s">
        <v>23</v>
      </c>
      <c r="M1" t="s">
        <v>39</v>
      </c>
    </row>
    <row r="2" spans="1:13" x14ac:dyDescent="0.3">
      <c r="A2" t="s">
        <v>18</v>
      </c>
      <c r="B2">
        <f>SUM(EnergyData[Generation_MWh])</f>
        <v>2114000</v>
      </c>
      <c r="D2" s="6" t="s">
        <v>25</v>
      </c>
      <c r="E2" s="8">
        <v>151300</v>
      </c>
      <c r="H2" s="6" t="s">
        <v>12</v>
      </c>
      <c r="I2" s="8">
        <v>956000</v>
      </c>
      <c r="J2" s="8">
        <v>938100</v>
      </c>
      <c r="L2" s="6" t="s">
        <v>25</v>
      </c>
      <c r="M2" s="8">
        <v>950</v>
      </c>
    </row>
    <row r="3" spans="1:13" x14ac:dyDescent="0.3">
      <c r="A3" t="s">
        <v>19</v>
      </c>
      <c r="B3">
        <f>SUM(EnergyData[Consumption_MWh])</f>
        <v>2071900</v>
      </c>
      <c r="D3" s="6" t="s">
        <v>26</v>
      </c>
      <c r="E3" s="8">
        <v>145600</v>
      </c>
      <c r="H3" s="6" t="s">
        <v>9</v>
      </c>
      <c r="I3" s="8">
        <v>855000</v>
      </c>
      <c r="J3" s="8">
        <v>836800</v>
      </c>
      <c r="L3" s="6" t="s">
        <v>26</v>
      </c>
      <c r="M3" s="8">
        <v>920</v>
      </c>
    </row>
    <row r="4" spans="1:13" x14ac:dyDescent="0.3">
      <c r="A4" t="s">
        <v>20</v>
      </c>
      <c r="B4">
        <f>MAX(EnergyData[Peak_Demand_MW])</f>
        <v>1380</v>
      </c>
      <c r="D4" s="6" t="s">
        <v>27</v>
      </c>
      <c r="E4" s="8">
        <v>157500</v>
      </c>
      <c r="H4" s="6" t="s">
        <v>13</v>
      </c>
      <c r="I4" s="8">
        <v>303000</v>
      </c>
      <c r="J4" s="8">
        <v>297000</v>
      </c>
      <c r="L4" s="6" t="s">
        <v>27</v>
      </c>
      <c r="M4" s="8">
        <v>970</v>
      </c>
    </row>
    <row r="5" spans="1:13" x14ac:dyDescent="0.3">
      <c r="A5" t="s">
        <v>42</v>
      </c>
      <c r="B5">
        <f>AVERAGE(EnergyData[Capacity_Factor_%])</f>
        <v>58.05</v>
      </c>
      <c r="D5" s="6" t="s">
        <v>28</v>
      </c>
      <c r="E5" s="8">
        <v>167500</v>
      </c>
      <c r="H5" s="6" t="s">
        <v>24</v>
      </c>
      <c r="I5" s="8">
        <v>2114000</v>
      </c>
      <c r="J5" s="8">
        <v>2071900</v>
      </c>
      <c r="L5" s="6" t="s">
        <v>28</v>
      </c>
      <c r="M5" s="8">
        <v>1000</v>
      </c>
    </row>
    <row r="6" spans="1:13" x14ac:dyDescent="0.3">
      <c r="A6" t="s">
        <v>21</v>
      </c>
      <c r="B6">
        <f>SUM(EnergyData[CO2_Tonnes])</f>
        <v>473210</v>
      </c>
      <c r="D6" s="6" t="s">
        <v>29</v>
      </c>
      <c r="E6" s="8">
        <v>182500</v>
      </c>
      <c r="L6" s="6" t="s">
        <v>29</v>
      </c>
      <c r="M6" s="8">
        <v>1100</v>
      </c>
    </row>
    <row r="7" spans="1:13" x14ac:dyDescent="0.3">
      <c r="D7" s="6" t="s">
        <v>30</v>
      </c>
      <c r="E7" s="8">
        <v>198500</v>
      </c>
      <c r="L7" s="6" t="s">
        <v>30</v>
      </c>
      <c r="M7" s="8">
        <v>1280</v>
      </c>
    </row>
    <row r="8" spans="1:13" x14ac:dyDescent="0.3">
      <c r="D8" s="6" t="s">
        <v>31</v>
      </c>
      <c r="E8" s="8">
        <v>207500</v>
      </c>
      <c r="H8" s="5" t="s">
        <v>23</v>
      </c>
      <c r="I8" t="s">
        <v>38</v>
      </c>
      <c r="L8" s="6" t="s">
        <v>31</v>
      </c>
      <c r="M8" s="8">
        <v>1380</v>
      </c>
    </row>
    <row r="9" spans="1:13" x14ac:dyDescent="0.3">
      <c r="D9" s="6" t="s">
        <v>32</v>
      </c>
      <c r="E9" s="8">
        <v>203500</v>
      </c>
      <c r="H9" s="6" t="s">
        <v>11</v>
      </c>
      <c r="I9" s="8">
        <v>912000</v>
      </c>
      <c r="L9" s="6" t="s">
        <v>32</v>
      </c>
      <c r="M9" s="8">
        <v>1350</v>
      </c>
    </row>
    <row r="10" spans="1:13" x14ac:dyDescent="0.3">
      <c r="D10" s="6" t="s">
        <v>33</v>
      </c>
      <c r="E10" s="8">
        <v>186500</v>
      </c>
      <c r="H10" s="6" t="s">
        <v>14</v>
      </c>
      <c r="I10" s="8">
        <v>683000</v>
      </c>
      <c r="L10" s="6" t="s">
        <v>33</v>
      </c>
      <c r="M10" s="8">
        <v>1200</v>
      </c>
    </row>
    <row r="11" spans="1:13" x14ac:dyDescent="0.3">
      <c r="D11" s="6" t="s">
        <v>34</v>
      </c>
      <c r="E11" s="8">
        <v>169500</v>
      </c>
      <c r="H11" s="6" t="s">
        <v>10</v>
      </c>
      <c r="I11" s="8">
        <v>519000</v>
      </c>
      <c r="L11" s="6" t="s">
        <v>34</v>
      </c>
      <c r="M11" s="8">
        <v>1050</v>
      </c>
    </row>
    <row r="12" spans="1:13" x14ac:dyDescent="0.3">
      <c r="D12" s="6" t="s">
        <v>35</v>
      </c>
      <c r="E12" s="8">
        <v>154500</v>
      </c>
      <c r="H12" s="6" t="s">
        <v>24</v>
      </c>
      <c r="I12" s="8">
        <v>2114000</v>
      </c>
      <c r="L12" s="6" t="s">
        <v>35</v>
      </c>
      <c r="M12" s="8">
        <v>960</v>
      </c>
    </row>
    <row r="13" spans="1:13" x14ac:dyDescent="0.3">
      <c r="D13" s="6" t="s">
        <v>36</v>
      </c>
      <c r="E13" s="8">
        <v>147500</v>
      </c>
      <c r="L13" s="6" t="s">
        <v>36</v>
      </c>
      <c r="M13" s="8">
        <v>930</v>
      </c>
    </row>
    <row r="14" spans="1:13" x14ac:dyDescent="0.3">
      <c r="D14" s="6" t="s">
        <v>24</v>
      </c>
      <c r="E14" s="8">
        <v>2071900</v>
      </c>
      <c r="L14" s="6" t="s">
        <v>24</v>
      </c>
      <c r="M14" s="8">
        <v>1380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6CA3-17CA-4ADA-9EC3-BB084C260521}">
  <dimension ref="A1:P7"/>
  <sheetViews>
    <sheetView showGridLines="0" showRowColHeaders="0" topLeftCell="A2" zoomScale="110" zoomScaleNormal="110" workbookViewId="0">
      <selection activeCell="R36" sqref="R36"/>
    </sheetView>
  </sheetViews>
  <sheetFormatPr defaultRowHeight="14.4" x14ac:dyDescent="0.3"/>
  <cols>
    <col min="2" max="2" width="12.88671875" bestFit="1" customWidth="1"/>
    <col min="5" max="5" width="12.6640625" bestFit="1" customWidth="1"/>
    <col min="14" max="14" width="11.21875" bestFit="1" customWidth="1"/>
  </cols>
  <sheetData>
    <row r="1" spans="1:16" x14ac:dyDescent="0.3">
      <c r="A1" s="24" t="s">
        <v>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5" spans="1:16" x14ac:dyDescent="0.3">
      <c r="B5" s="9" t="s">
        <v>44</v>
      </c>
      <c r="C5" s="15"/>
      <c r="E5" s="9" t="s">
        <v>46</v>
      </c>
      <c r="F5" s="10"/>
      <c r="H5" s="9" t="s">
        <v>47</v>
      </c>
      <c r="I5" s="10"/>
      <c r="K5" s="9" t="s">
        <v>49</v>
      </c>
      <c r="L5" s="10"/>
      <c r="N5" s="9" t="s">
        <v>51</v>
      </c>
      <c r="O5" s="10"/>
    </row>
    <row r="6" spans="1:16" x14ac:dyDescent="0.3">
      <c r="B6" s="20">
        <f>Pivot_Table_P1!B2</f>
        <v>2114000</v>
      </c>
      <c r="C6" s="16"/>
      <c r="E6" s="20">
        <f>Pivot_Table_P1!B3</f>
        <v>2071900</v>
      </c>
      <c r="F6" s="12"/>
      <c r="H6" s="20">
        <f>Pivot_Table_P1!B4</f>
        <v>1380</v>
      </c>
      <c r="I6" s="12"/>
      <c r="K6" s="11">
        <f>Pivot_Table_P1!B5</f>
        <v>58.05</v>
      </c>
      <c r="L6" s="12"/>
      <c r="N6" s="20">
        <f>Pivot_Table_P1!B6</f>
        <v>473210</v>
      </c>
      <c r="O6" s="12"/>
    </row>
    <row r="7" spans="1:16" x14ac:dyDescent="0.3">
      <c r="B7" s="13" t="s">
        <v>45</v>
      </c>
      <c r="C7" s="17"/>
      <c r="E7" s="13" t="s">
        <v>45</v>
      </c>
      <c r="F7" s="14"/>
      <c r="H7" s="18" t="s">
        <v>48</v>
      </c>
      <c r="I7" s="19"/>
      <c r="K7" s="13" t="s">
        <v>50</v>
      </c>
      <c r="L7" s="14"/>
      <c r="N7" s="13" t="s">
        <v>52</v>
      </c>
      <c r="O7" s="14"/>
    </row>
  </sheetData>
  <mergeCells count="1">
    <mergeCell ref="A1: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74C0-DCC0-4273-9470-814F1BADE350}">
  <dimension ref="A1:A17"/>
  <sheetViews>
    <sheetView workbookViewId="0">
      <selection activeCell="A17" sqref="A17"/>
    </sheetView>
  </sheetViews>
  <sheetFormatPr defaultRowHeight="14.4" x14ac:dyDescent="0.3"/>
  <sheetData>
    <row r="1" spans="1:1" ht="25.8" x14ac:dyDescent="0.5">
      <c r="A1" s="21" t="s">
        <v>53</v>
      </c>
    </row>
    <row r="3" spans="1:1" ht="23.4" x14ac:dyDescent="0.45">
      <c r="A3" s="22" t="s">
        <v>54</v>
      </c>
    </row>
    <row r="4" spans="1:1" ht="23.4" x14ac:dyDescent="0.45">
      <c r="A4" s="22" t="s">
        <v>55</v>
      </c>
    </row>
    <row r="5" spans="1:1" ht="23.4" x14ac:dyDescent="0.45">
      <c r="A5" s="22" t="s">
        <v>56</v>
      </c>
    </row>
    <row r="6" spans="1:1" ht="23.4" x14ac:dyDescent="0.45">
      <c r="A6" s="22" t="s">
        <v>57</v>
      </c>
    </row>
    <row r="7" spans="1:1" ht="23.4" x14ac:dyDescent="0.45">
      <c r="A7" s="22" t="s">
        <v>58</v>
      </c>
    </row>
    <row r="11" spans="1:1" ht="25.8" x14ac:dyDescent="0.5">
      <c r="A11" s="21"/>
    </row>
    <row r="12" spans="1:1" ht="16.8" customHeight="1" x14ac:dyDescent="0.5">
      <c r="A12" s="21"/>
    </row>
    <row r="13" spans="1:1" ht="23.4" x14ac:dyDescent="0.45">
      <c r="A13" s="22"/>
    </row>
    <row r="14" spans="1:1" ht="23.4" x14ac:dyDescent="0.45">
      <c r="A14" s="22"/>
    </row>
    <row r="15" spans="1:1" ht="23.4" x14ac:dyDescent="0.45">
      <c r="A15" s="22"/>
    </row>
    <row r="16" spans="1:1" ht="23.4" x14ac:dyDescent="0.45">
      <c r="A16" s="22"/>
    </row>
    <row r="17" spans="1:1" ht="23.4" x14ac:dyDescent="0.45">
      <c r="A1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E08D-48B2-4FD9-8C28-E19EBC349C35}">
  <dimension ref="A1:H21"/>
  <sheetViews>
    <sheetView zoomScale="84" workbookViewId="0">
      <selection activeCell="G8" sqref="G8:H12"/>
    </sheetView>
  </sheetViews>
  <sheetFormatPr defaultRowHeight="14.4" x14ac:dyDescent="0.3"/>
  <cols>
    <col min="1" max="1" width="20.109375" customWidth="1"/>
    <col min="2" max="2" width="12.6640625" bestFit="1" customWidth="1"/>
    <col min="4" max="4" width="12.44140625" bestFit="1" customWidth="1"/>
    <col min="5" max="5" width="26.109375" bestFit="1" customWidth="1"/>
    <col min="6" max="6" width="20" bestFit="1" customWidth="1"/>
    <col min="7" max="8" width="12.44140625" bestFit="1" customWidth="1"/>
    <col min="9" max="9" width="17.33203125" bestFit="1" customWidth="1"/>
  </cols>
  <sheetData>
    <row r="1" spans="1:8" x14ac:dyDescent="0.3">
      <c r="A1" t="s">
        <v>17</v>
      </c>
      <c r="B1" t="s">
        <v>22</v>
      </c>
    </row>
    <row r="2" spans="1:8" x14ac:dyDescent="0.3">
      <c r="A2" t="s">
        <v>18</v>
      </c>
      <c r="B2" s="23">
        <f>SUM(EnergyData[Generation_MWh])</f>
        <v>2114000</v>
      </c>
      <c r="D2" s="5" t="s">
        <v>23</v>
      </c>
      <c r="E2" t="s">
        <v>64</v>
      </c>
      <c r="G2" s="5" t="s">
        <v>23</v>
      </c>
      <c r="H2" t="s">
        <v>62</v>
      </c>
    </row>
    <row r="3" spans="1:8" x14ac:dyDescent="0.3">
      <c r="A3" t="s">
        <v>59</v>
      </c>
      <c r="B3" s="23">
        <f>AVERAGE(EnergyData[Capacity_Factor_%])</f>
        <v>58.05</v>
      </c>
      <c r="D3" s="6" t="s">
        <v>11</v>
      </c>
      <c r="E3" s="27">
        <v>72.708333333333329</v>
      </c>
      <c r="G3" s="6" t="s">
        <v>11</v>
      </c>
      <c r="H3">
        <v>1290</v>
      </c>
    </row>
    <row r="4" spans="1:8" x14ac:dyDescent="0.3">
      <c r="A4" t="s">
        <v>60</v>
      </c>
      <c r="B4" s="23">
        <f>SUMPRODUCT(EnergyData[Generation_MWh],EnergyData[Cost_per_MWh])</f>
        <v>75420000</v>
      </c>
      <c r="D4" s="6" t="s">
        <v>14</v>
      </c>
      <c r="E4" s="27">
        <v>93.75</v>
      </c>
      <c r="G4" s="6" t="s">
        <v>14</v>
      </c>
      <c r="H4">
        <v>216</v>
      </c>
    </row>
    <row r="5" spans="1:8" x14ac:dyDescent="0.3">
      <c r="A5" t="s">
        <v>61</v>
      </c>
      <c r="B5" s="23">
        <f>AVERAGE(EnergyData[Cost_per_MWh])</f>
        <v>35.75</v>
      </c>
      <c r="D5" s="6" t="s">
        <v>10</v>
      </c>
      <c r="E5" s="27">
        <v>25.541666666666668</v>
      </c>
      <c r="G5" s="6" t="s">
        <v>10</v>
      </c>
      <c r="H5">
        <v>639</v>
      </c>
    </row>
    <row r="6" spans="1:8" x14ac:dyDescent="0.3">
      <c r="A6" t="s">
        <v>21</v>
      </c>
      <c r="B6" s="23">
        <f>SUM(EnergyData[CO2_Tonnes])</f>
        <v>473210</v>
      </c>
      <c r="D6" s="6" t="s">
        <v>24</v>
      </c>
      <c r="E6" s="26">
        <v>58.05</v>
      </c>
      <c r="G6" s="6" t="s">
        <v>24</v>
      </c>
      <c r="H6">
        <v>2145</v>
      </c>
    </row>
    <row r="8" spans="1:8" x14ac:dyDescent="0.3">
      <c r="D8" s="5" t="s">
        <v>23</v>
      </c>
      <c r="E8" t="s">
        <v>38</v>
      </c>
      <c r="G8" s="5" t="s">
        <v>23</v>
      </c>
      <c r="H8" t="s">
        <v>63</v>
      </c>
    </row>
    <row r="9" spans="1:8" x14ac:dyDescent="0.3">
      <c r="D9" s="6" t="s">
        <v>25</v>
      </c>
      <c r="E9" s="26">
        <v>155000</v>
      </c>
      <c r="G9" s="6" t="s">
        <v>11</v>
      </c>
      <c r="H9">
        <v>456000</v>
      </c>
    </row>
    <row r="10" spans="1:8" x14ac:dyDescent="0.3">
      <c r="D10" s="6" t="s">
        <v>26</v>
      </c>
      <c r="E10" s="26">
        <v>149000</v>
      </c>
      <c r="G10" s="6" t="s">
        <v>14</v>
      </c>
      <c r="H10">
        <v>6830</v>
      </c>
    </row>
    <row r="11" spans="1:8" x14ac:dyDescent="0.3">
      <c r="D11" s="6" t="s">
        <v>27</v>
      </c>
      <c r="E11" s="26">
        <v>161000</v>
      </c>
      <c r="G11" s="6" t="s">
        <v>10</v>
      </c>
      <c r="H11">
        <v>10380</v>
      </c>
    </row>
    <row r="12" spans="1:8" x14ac:dyDescent="0.3">
      <c r="D12" s="6" t="s">
        <v>28</v>
      </c>
      <c r="E12" s="26">
        <v>171000</v>
      </c>
      <c r="G12" s="6" t="s">
        <v>24</v>
      </c>
      <c r="H12">
        <v>473210</v>
      </c>
    </row>
    <row r="13" spans="1:8" x14ac:dyDescent="0.3">
      <c r="D13" s="6" t="s">
        <v>29</v>
      </c>
      <c r="E13" s="26">
        <v>186000</v>
      </c>
    </row>
    <row r="14" spans="1:8" x14ac:dyDescent="0.3">
      <c r="D14" s="6" t="s">
        <v>30</v>
      </c>
      <c r="E14" s="26">
        <v>202000</v>
      </c>
    </row>
    <row r="15" spans="1:8" x14ac:dyDescent="0.3">
      <c r="D15" s="6" t="s">
        <v>31</v>
      </c>
      <c r="E15" s="26">
        <v>211000</v>
      </c>
    </row>
    <row r="16" spans="1:8" x14ac:dyDescent="0.3">
      <c r="D16" s="6" t="s">
        <v>32</v>
      </c>
      <c r="E16" s="26">
        <v>207000</v>
      </c>
    </row>
    <row r="17" spans="4:5" x14ac:dyDescent="0.3">
      <c r="D17" s="6" t="s">
        <v>33</v>
      </c>
      <c r="E17" s="26">
        <v>190000</v>
      </c>
    </row>
    <row r="18" spans="4:5" x14ac:dyDescent="0.3">
      <c r="D18" s="6" t="s">
        <v>34</v>
      </c>
      <c r="E18" s="26">
        <v>173000</v>
      </c>
    </row>
    <row r="19" spans="4:5" x14ac:dyDescent="0.3">
      <c r="D19" s="6" t="s">
        <v>35</v>
      </c>
      <c r="E19" s="26">
        <v>158000</v>
      </c>
    </row>
    <row r="20" spans="4:5" x14ac:dyDescent="0.3">
      <c r="D20" s="6" t="s">
        <v>36</v>
      </c>
      <c r="E20" s="26">
        <v>151000</v>
      </c>
    </row>
    <row r="21" spans="4:5" x14ac:dyDescent="0.3">
      <c r="D21" s="6" t="s">
        <v>24</v>
      </c>
      <c r="E21" s="26">
        <v>2114000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106A-082A-4E14-B509-87F259FCF3BC}">
  <dimension ref="A1:P7"/>
  <sheetViews>
    <sheetView showGridLines="0" showRowColHeaders="0" tabSelected="1" topLeftCell="B2" zoomScale="120" zoomScaleNormal="120" workbookViewId="0">
      <selection activeCell="N4" sqref="N4"/>
    </sheetView>
  </sheetViews>
  <sheetFormatPr defaultColWidth="12.33203125" defaultRowHeight="14.4" x14ac:dyDescent="0.3"/>
  <cols>
    <col min="1" max="1" width="12.33203125" style="28"/>
    <col min="2" max="2" width="15.109375" style="28" customWidth="1"/>
    <col min="3" max="3" width="12.33203125" style="28"/>
    <col min="4" max="4" width="18.33203125" style="28" customWidth="1"/>
    <col min="5" max="5" width="12.33203125" style="28"/>
    <col min="6" max="6" width="21.6640625" style="28" customWidth="1"/>
    <col min="7" max="7" width="12.33203125" style="28"/>
    <col min="8" max="8" width="24" style="28" customWidth="1"/>
    <col min="9" max="9" width="9.77734375" style="28" customWidth="1"/>
    <col min="10" max="10" width="20.44140625" style="28" customWidth="1"/>
    <col min="11" max="11" width="12.33203125" style="28"/>
    <col min="12" max="12" width="13.109375" style="28" bestFit="1" customWidth="1"/>
    <col min="13" max="16384" width="12.33203125" style="28"/>
  </cols>
  <sheetData>
    <row r="1" spans="1:16" x14ac:dyDescent="0.3">
      <c r="A1" s="29" t="s">
        <v>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5" spans="1:16" ht="18" x14ac:dyDescent="0.35">
      <c r="D5" s="31" t="s">
        <v>44</v>
      </c>
      <c r="F5" s="31" t="s">
        <v>49</v>
      </c>
      <c r="H5" s="31" t="s">
        <v>60</v>
      </c>
      <c r="J5" s="31" t="s">
        <v>61</v>
      </c>
      <c r="L5" s="31" t="s">
        <v>51</v>
      </c>
    </row>
    <row r="6" spans="1:16" ht="18" x14ac:dyDescent="0.35">
      <c r="D6" s="30">
        <f>Pivot_Table_P2!B2</f>
        <v>2114000</v>
      </c>
      <c r="F6" s="30">
        <f>Pivot_Table_P2!B3</f>
        <v>58.05</v>
      </c>
      <c r="H6" s="30">
        <f>Pivot_Table_P2!B4</f>
        <v>75420000</v>
      </c>
      <c r="J6" s="30">
        <f>Pivot_Table_P2!B5</f>
        <v>35.75</v>
      </c>
      <c r="L6" s="30">
        <f>Pivot_Table_P2!B6</f>
        <v>473210</v>
      </c>
    </row>
    <row r="7" spans="1:16" ht="18" x14ac:dyDescent="0.35">
      <c r="D7" s="32" t="s">
        <v>45</v>
      </c>
      <c r="F7" s="32" t="s">
        <v>50</v>
      </c>
      <c r="H7" s="32" t="s">
        <v>66</v>
      </c>
      <c r="J7" s="32" t="s">
        <v>67</v>
      </c>
      <c r="L7" s="32" t="s">
        <v>52</v>
      </c>
    </row>
  </sheetData>
  <mergeCells count="1">
    <mergeCell ref="A1:P3"/>
  </mergeCells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F406-B448-4725-8784-F577E80420A1}">
  <dimension ref="A1:K27"/>
  <sheetViews>
    <sheetView workbookViewId="0">
      <selection activeCell="A3" sqref="A3:K27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3" width="9" bestFit="1" customWidth="1"/>
    <col min="4" max="4" width="17.44140625" bestFit="1" customWidth="1"/>
    <col min="5" max="5" width="19.44140625" bestFit="1" customWidth="1"/>
    <col min="6" max="6" width="19.109375" bestFit="1" customWidth="1"/>
    <col min="7" max="7" width="19.21875" bestFit="1" customWidth="1"/>
    <col min="8" max="8" width="15.5546875" bestFit="1" customWidth="1"/>
    <col min="9" max="9" width="13.33203125" bestFit="1" customWidth="1"/>
    <col min="10" max="10" width="16.109375" bestFit="1" customWidth="1"/>
    <col min="11" max="11" width="13.44140625" bestFit="1" customWidth="1"/>
  </cols>
  <sheetData>
    <row r="1" spans="1:11" x14ac:dyDescent="0.3">
      <c r="A1" s="1" t="s">
        <v>40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15</v>
      </c>
      <c r="K3" t="s">
        <v>16</v>
      </c>
    </row>
    <row r="4" spans="1:11" x14ac:dyDescent="0.3">
      <c r="A4" s="7">
        <v>46379</v>
      </c>
      <c r="B4" t="s">
        <v>12</v>
      </c>
      <c r="C4" t="s">
        <v>14</v>
      </c>
      <c r="D4">
        <v>54000</v>
      </c>
      <c r="E4">
        <v>53000</v>
      </c>
      <c r="F4">
        <v>930</v>
      </c>
      <c r="G4">
        <v>91</v>
      </c>
      <c r="H4">
        <v>18</v>
      </c>
      <c r="I4">
        <v>540</v>
      </c>
      <c r="J4">
        <v>1000</v>
      </c>
      <c r="K4">
        <v>1.8518518518518516</v>
      </c>
    </row>
    <row r="5" spans="1:11" x14ac:dyDescent="0.3">
      <c r="A5" s="7">
        <v>46379</v>
      </c>
      <c r="B5" t="s">
        <v>12</v>
      </c>
      <c r="C5" t="s">
        <v>10</v>
      </c>
      <c r="D5">
        <v>17000</v>
      </c>
      <c r="E5">
        <v>16500</v>
      </c>
      <c r="F5">
        <v>930</v>
      </c>
      <c r="G5">
        <v>20</v>
      </c>
      <c r="H5">
        <v>27</v>
      </c>
      <c r="I5">
        <v>340</v>
      </c>
      <c r="J5">
        <v>500</v>
      </c>
      <c r="K5">
        <v>2.9411764705882351</v>
      </c>
    </row>
    <row r="6" spans="1:11" x14ac:dyDescent="0.3">
      <c r="A6" s="7">
        <v>46045</v>
      </c>
      <c r="B6" t="s">
        <v>12</v>
      </c>
      <c r="C6" t="s">
        <v>10</v>
      </c>
      <c r="D6">
        <v>18000</v>
      </c>
      <c r="E6">
        <v>17500</v>
      </c>
      <c r="F6">
        <v>950</v>
      </c>
      <c r="G6">
        <v>20</v>
      </c>
      <c r="H6">
        <v>27</v>
      </c>
      <c r="I6">
        <v>360</v>
      </c>
      <c r="J6">
        <v>500</v>
      </c>
      <c r="K6">
        <v>2.7777777777777777</v>
      </c>
    </row>
    <row r="7" spans="1:11" x14ac:dyDescent="0.3">
      <c r="A7" s="7">
        <v>46045</v>
      </c>
      <c r="B7" t="s">
        <v>12</v>
      </c>
      <c r="C7" t="s">
        <v>14</v>
      </c>
      <c r="D7">
        <v>55000</v>
      </c>
      <c r="E7">
        <v>54000</v>
      </c>
      <c r="F7">
        <v>950</v>
      </c>
      <c r="G7">
        <v>92</v>
      </c>
      <c r="H7">
        <v>18</v>
      </c>
      <c r="I7">
        <v>550</v>
      </c>
      <c r="J7">
        <v>1000</v>
      </c>
      <c r="K7">
        <v>1.8181818181818181</v>
      </c>
    </row>
    <row r="8" spans="1:11" x14ac:dyDescent="0.3">
      <c r="A8" s="7">
        <v>46349</v>
      </c>
      <c r="B8" t="s">
        <v>12</v>
      </c>
      <c r="C8" t="s">
        <v>14</v>
      </c>
      <c r="D8">
        <v>55000</v>
      </c>
      <c r="E8">
        <v>54000</v>
      </c>
      <c r="F8">
        <v>960</v>
      </c>
      <c r="G8">
        <v>92</v>
      </c>
      <c r="H8">
        <v>18</v>
      </c>
      <c r="I8">
        <v>550</v>
      </c>
      <c r="J8">
        <v>1000</v>
      </c>
      <c r="K8">
        <v>1.8181818181818181</v>
      </c>
    </row>
    <row r="9" spans="1:11" x14ac:dyDescent="0.3">
      <c r="A9" s="7">
        <v>46349</v>
      </c>
      <c r="B9" t="s">
        <v>12</v>
      </c>
      <c r="C9" t="s">
        <v>10</v>
      </c>
      <c r="D9">
        <v>18000</v>
      </c>
      <c r="E9">
        <v>17500</v>
      </c>
      <c r="F9">
        <v>960</v>
      </c>
      <c r="G9">
        <v>21</v>
      </c>
      <c r="H9">
        <v>27</v>
      </c>
      <c r="I9">
        <v>360</v>
      </c>
      <c r="J9">
        <v>500</v>
      </c>
      <c r="K9">
        <v>2.7777777777777777</v>
      </c>
    </row>
    <row r="10" spans="1:11" x14ac:dyDescent="0.3">
      <c r="A10" s="7">
        <v>46318</v>
      </c>
      <c r="B10" t="s">
        <v>12</v>
      </c>
      <c r="C10" t="s">
        <v>14</v>
      </c>
      <c r="D10">
        <v>57000</v>
      </c>
      <c r="E10">
        <v>56000</v>
      </c>
      <c r="F10">
        <v>1050</v>
      </c>
      <c r="G10">
        <v>94</v>
      </c>
      <c r="H10">
        <v>18</v>
      </c>
      <c r="I10">
        <v>570</v>
      </c>
      <c r="J10">
        <v>1000</v>
      </c>
      <c r="K10">
        <v>1.7543859649122806</v>
      </c>
    </row>
    <row r="11" spans="1:11" x14ac:dyDescent="0.3">
      <c r="A11" s="7">
        <v>46076</v>
      </c>
      <c r="B11" t="s">
        <v>12</v>
      </c>
      <c r="C11" t="s">
        <v>10</v>
      </c>
      <c r="D11">
        <v>17000</v>
      </c>
      <c r="E11">
        <v>16600</v>
      </c>
      <c r="F11">
        <v>920</v>
      </c>
      <c r="G11">
        <v>19</v>
      </c>
      <c r="H11">
        <v>27</v>
      </c>
      <c r="I11">
        <v>340</v>
      </c>
      <c r="J11">
        <v>400</v>
      </c>
      <c r="K11">
        <v>2.3529411764705883</v>
      </c>
    </row>
    <row r="12" spans="1:11" x14ac:dyDescent="0.3">
      <c r="A12" s="7">
        <v>46076</v>
      </c>
      <c r="B12" t="s">
        <v>12</v>
      </c>
      <c r="C12" t="s">
        <v>14</v>
      </c>
      <c r="D12">
        <v>54000</v>
      </c>
      <c r="E12">
        <v>53000</v>
      </c>
      <c r="F12">
        <v>920</v>
      </c>
      <c r="G12">
        <v>91</v>
      </c>
      <c r="H12">
        <v>18</v>
      </c>
      <c r="I12">
        <v>540</v>
      </c>
      <c r="J12">
        <v>1000</v>
      </c>
      <c r="K12">
        <v>1.8518518518518516</v>
      </c>
    </row>
    <row r="13" spans="1:11" x14ac:dyDescent="0.3">
      <c r="A13" s="7">
        <v>46318</v>
      </c>
      <c r="B13" t="s">
        <v>12</v>
      </c>
      <c r="C13" t="s">
        <v>10</v>
      </c>
      <c r="D13">
        <v>22000</v>
      </c>
      <c r="E13">
        <v>21500</v>
      </c>
      <c r="F13">
        <v>1050</v>
      </c>
      <c r="G13">
        <v>26</v>
      </c>
      <c r="H13">
        <v>26</v>
      </c>
      <c r="I13">
        <v>440</v>
      </c>
      <c r="J13">
        <v>500</v>
      </c>
      <c r="K13">
        <v>2.2727272727272729</v>
      </c>
    </row>
    <row r="14" spans="1:11" x14ac:dyDescent="0.3">
      <c r="A14" s="7">
        <v>46288</v>
      </c>
      <c r="B14" t="s">
        <v>12</v>
      </c>
      <c r="C14" t="s">
        <v>14</v>
      </c>
      <c r="D14">
        <v>58000</v>
      </c>
      <c r="E14">
        <v>57000</v>
      </c>
      <c r="F14">
        <v>1200</v>
      </c>
      <c r="G14">
        <v>95</v>
      </c>
      <c r="H14">
        <v>18</v>
      </c>
      <c r="I14">
        <v>580</v>
      </c>
      <c r="J14">
        <v>1000</v>
      </c>
      <c r="K14">
        <v>1.7241379310344827</v>
      </c>
    </row>
    <row r="15" spans="1:11" x14ac:dyDescent="0.3">
      <c r="A15" s="7">
        <v>46288</v>
      </c>
      <c r="B15" t="s">
        <v>12</v>
      </c>
      <c r="C15" t="s">
        <v>10</v>
      </c>
      <c r="D15">
        <v>26000</v>
      </c>
      <c r="E15">
        <v>25500</v>
      </c>
      <c r="F15">
        <v>1200</v>
      </c>
      <c r="G15">
        <v>30</v>
      </c>
      <c r="H15">
        <v>26</v>
      </c>
      <c r="I15">
        <v>520</v>
      </c>
      <c r="J15">
        <v>500</v>
      </c>
      <c r="K15">
        <v>1.9230769230769231</v>
      </c>
    </row>
    <row r="16" spans="1:11" x14ac:dyDescent="0.3">
      <c r="A16" s="7">
        <v>46104</v>
      </c>
      <c r="B16" t="s">
        <v>12</v>
      </c>
      <c r="C16" t="s">
        <v>10</v>
      </c>
      <c r="D16">
        <v>19000</v>
      </c>
      <c r="E16">
        <v>18500</v>
      </c>
      <c r="F16">
        <v>970</v>
      </c>
      <c r="G16">
        <v>22</v>
      </c>
      <c r="H16">
        <v>27</v>
      </c>
      <c r="I16">
        <v>380</v>
      </c>
      <c r="J16">
        <v>500</v>
      </c>
      <c r="K16">
        <v>2.6315789473684208</v>
      </c>
    </row>
    <row r="17" spans="1:11" x14ac:dyDescent="0.3">
      <c r="A17" s="7">
        <v>46104</v>
      </c>
      <c r="B17" t="s">
        <v>12</v>
      </c>
      <c r="C17" t="s">
        <v>14</v>
      </c>
      <c r="D17">
        <v>56000</v>
      </c>
      <c r="E17">
        <v>55000</v>
      </c>
      <c r="F17">
        <v>970</v>
      </c>
      <c r="G17">
        <v>93</v>
      </c>
      <c r="H17">
        <v>18</v>
      </c>
      <c r="I17">
        <v>560</v>
      </c>
      <c r="J17">
        <v>1000</v>
      </c>
      <c r="K17">
        <v>1.7857142857142856</v>
      </c>
    </row>
    <row r="18" spans="1:11" x14ac:dyDescent="0.3">
      <c r="A18" s="7">
        <v>46257</v>
      </c>
      <c r="B18" t="s">
        <v>12</v>
      </c>
      <c r="C18" t="s">
        <v>14</v>
      </c>
      <c r="D18">
        <v>60000</v>
      </c>
      <c r="E18">
        <v>59000</v>
      </c>
      <c r="F18">
        <v>1350</v>
      </c>
      <c r="G18">
        <v>96</v>
      </c>
      <c r="H18">
        <v>18</v>
      </c>
      <c r="I18">
        <v>600</v>
      </c>
      <c r="J18">
        <v>1000</v>
      </c>
      <c r="K18">
        <v>1.6666666666666667</v>
      </c>
    </row>
    <row r="19" spans="1:11" x14ac:dyDescent="0.3">
      <c r="A19" s="7">
        <v>46257</v>
      </c>
      <c r="B19" t="s">
        <v>12</v>
      </c>
      <c r="C19" t="s">
        <v>10</v>
      </c>
      <c r="D19">
        <v>29000</v>
      </c>
      <c r="E19">
        <v>28500</v>
      </c>
      <c r="F19">
        <v>1350</v>
      </c>
      <c r="G19">
        <v>35</v>
      </c>
      <c r="H19">
        <v>25</v>
      </c>
      <c r="I19">
        <v>580</v>
      </c>
      <c r="J19">
        <v>500</v>
      </c>
      <c r="K19">
        <v>1.7241379310344827</v>
      </c>
    </row>
    <row r="20" spans="1:11" x14ac:dyDescent="0.3">
      <c r="A20" s="7">
        <v>46226</v>
      </c>
      <c r="B20" t="s">
        <v>12</v>
      </c>
      <c r="C20" t="s">
        <v>14</v>
      </c>
      <c r="D20">
        <v>60000</v>
      </c>
      <c r="E20">
        <v>59000</v>
      </c>
      <c r="F20">
        <v>1380</v>
      </c>
      <c r="G20">
        <v>96</v>
      </c>
      <c r="H20">
        <v>18</v>
      </c>
      <c r="I20">
        <v>600</v>
      </c>
      <c r="J20">
        <v>1000</v>
      </c>
      <c r="K20">
        <v>1.6666666666666667</v>
      </c>
    </row>
    <row r="21" spans="1:11" x14ac:dyDescent="0.3">
      <c r="A21" s="7">
        <v>46135</v>
      </c>
      <c r="B21" t="s">
        <v>12</v>
      </c>
      <c r="C21" t="s">
        <v>10</v>
      </c>
      <c r="D21">
        <v>22000</v>
      </c>
      <c r="E21">
        <v>21500</v>
      </c>
      <c r="F21">
        <v>1000</v>
      </c>
      <c r="G21">
        <v>25</v>
      </c>
      <c r="H21">
        <v>26</v>
      </c>
      <c r="I21">
        <v>440</v>
      </c>
      <c r="J21">
        <v>500</v>
      </c>
      <c r="K21">
        <v>2.2727272727272729</v>
      </c>
    </row>
    <row r="22" spans="1:11" x14ac:dyDescent="0.3">
      <c r="A22" s="7">
        <v>46135</v>
      </c>
      <c r="B22" t="s">
        <v>12</v>
      </c>
      <c r="C22" t="s">
        <v>14</v>
      </c>
      <c r="D22">
        <v>57000</v>
      </c>
      <c r="E22">
        <v>56000</v>
      </c>
      <c r="F22">
        <v>1000</v>
      </c>
      <c r="G22">
        <v>94</v>
      </c>
      <c r="H22">
        <v>18</v>
      </c>
      <c r="I22">
        <v>570</v>
      </c>
      <c r="J22">
        <v>1000</v>
      </c>
      <c r="K22">
        <v>1.7543859649122806</v>
      </c>
    </row>
    <row r="23" spans="1:11" x14ac:dyDescent="0.3">
      <c r="A23" s="7">
        <v>46226</v>
      </c>
      <c r="B23" t="s">
        <v>12</v>
      </c>
      <c r="C23" t="s">
        <v>10</v>
      </c>
      <c r="D23">
        <v>30000</v>
      </c>
      <c r="E23">
        <v>29500</v>
      </c>
      <c r="F23">
        <v>1380</v>
      </c>
      <c r="G23">
        <v>36</v>
      </c>
      <c r="H23">
        <v>25</v>
      </c>
      <c r="I23">
        <v>600</v>
      </c>
      <c r="J23">
        <v>500</v>
      </c>
      <c r="K23">
        <v>1.6666666666666667</v>
      </c>
    </row>
    <row r="24" spans="1:11" x14ac:dyDescent="0.3">
      <c r="A24" s="7">
        <v>46196</v>
      </c>
      <c r="B24" t="s">
        <v>12</v>
      </c>
      <c r="C24" t="s">
        <v>14</v>
      </c>
      <c r="D24">
        <v>59000</v>
      </c>
      <c r="E24">
        <v>58000</v>
      </c>
      <c r="F24">
        <v>1280</v>
      </c>
      <c r="G24">
        <v>96</v>
      </c>
      <c r="H24">
        <v>18</v>
      </c>
      <c r="I24">
        <v>590</v>
      </c>
      <c r="J24">
        <v>1000</v>
      </c>
      <c r="K24">
        <v>1.6949152542372881</v>
      </c>
    </row>
    <row r="25" spans="1:11" x14ac:dyDescent="0.3">
      <c r="A25" s="7">
        <v>46196</v>
      </c>
      <c r="B25" t="s">
        <v>12</v>
      </c>
      <c r="C25" t="s">
        <v>10</v>
      </c>
      <c r="D25">
        <v>29000</v>
      </c>
      <c r="E25">
        <v>28500</v>
      </c>
      <c r="F25">
        <v>1280</v>
      </c>
      <c r="G25">
        <v>34</v>
      </c>
      <c r="H25">
        <v>25</v>
      </c>
      <c r="I25">
        <v>580</v>
      </c>
      <c r="J25">
        <v>500</v>
      </c>
      <c r="K25">
        <v>1.7241379310344827</v>
      </c>
    </row>
    <row r="26" spans="1:11" x14ac:dyDescent="0.3">
      <c r="A26" s="7">
        <v>46165</v>
      </c>
      <c r="B26" t="s">
        <v>12</v>
      </c>
      <c r="C26" t="s">
        <v>10</v>
      </c>
      <c r="D26">
        <v>26000</v>
      </c>
      <c r="E26">
        <v>25500</v>
      </c>
      <c r="F26">
        <v>1100</v>
      </c>
      <c r="G26">
        <v>30</v>
      </c>
      <c r="H26">
        <v>26</v>
      </c>
      <c r="I26">
        <v>520</v>
      </c>
      <c r="J26">
        <v>500</v>
      </c>
      <c r="K26">
        <v>1.9230769230769231</v>
      </c>
    </row>
    <row r="27" spans="1:11" x14ac:dyDescent="0.3">
      <c r="A27" s="7">
        <v>46165</v>
      </c>
      <c r="B27" t="s">
        <v>12</v>
      </c>
      <c r="C27" t="s">
        <v>14</v>
      </c>
      <c r="D27">
        <v>58000</v>
      </c>
      <c r="E27">
        <v>57000</v>
      </c>
      <c r="F27">
        <v>1100</v>
      </c>
      <c r="G27">
        <v>95</v>
      </c>
      <c r="H27">
        <v>18</v>
      </c>
      <c r="I27">
        <v>580</v>
      </c>
      <c r="J27">
        <v>1000</v>
      </c>
      <c r="K27">
        <v>1.7241379310344827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81FD-7F3A-4293-AE9B-EBA624764351}">
  <dimension ref="A1:K27"/>
  <sheetViews>
    <sheetView workbookViewId="0">
      <selection activeCell="D18" sqref="D18"/>
    </sheetView>
  </sheetViews>
  <sheetFormatPr defaultRowHeight="14.4" x14ac:dyDescent="0.3"/>
  <cols>
    <col min="1" max="1" width="10.33203125" bestFit="1" customWidth="1"/>
    <col min="2" max="3" width="9" bestFit="1" customWidth="1"/>
    <col min="4" max="4" width="17.44140625" bestFit="1" customWidth="1"/>
    <col min="5" max="5" width="19.44140625" bestFit="1" customWidth="1"/>
    <col min="6" max="6" width="19.109375" bestFit="1" customWidth="1"/>
    <col min="7" max="7" width="19.21875" bestFit="1" customWidth="1"/>
    <col min="8" max="8" width="15.5546875" bestFit="1" customWidth="1"/>
    <col min="9" max="9" width="13.33203125" bestFit="1" customWidth="1"/>
    <col min="10" max="10" width="16.109375" bestFit="1" customWidth="1"/>
    <col min="11" max="11" width="13.44140625" bestFit="1" customWidth="1"/>
  </cols>
  <sheetData>
    <row r="1" spans="1:11" x14ac:dyDescent="0.3">
      <c r="A1" s="1" t="s">
        <v>41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15</v>
      </c>
      <c r="K3" t="s">
        <v>16</v>
      </c>
    </row>
    <row r="4" spans="1:11" x14ac:dyDescent="0.3">
      <c r="A4" s="7">
        <v>46045</v>
      </c>
      <c r="B4" t="s">
        <v>9</v>
      </c>
      <c r="C4" t="s">
        <v>10</v>
      </c>
      <c r="D4">
        <v>15000</v>
      </c>
      <c r="E4">
        <v>14200</v>
      </c>
      <c r="F4">
        <v>820</v>
      </c>
      <c r="G4">
        <v>18</v>
      </c>
      <c r="H4">
        <v>28</v>
      </c>
      <c r="I4">
        <v>300</v>
      </c>
      <c r="J4">
        <v>800</v>
      </c>
      <c r="K4">
        <v>5.3333333333333339</v>
      </c>
    </row>
    <row r="5" spans="1:11" x14ac:dyDescent="0.3">
      <c r="A5" s="7">
        <v>46045</v>
      </c>
      <c r="B5" t="s">
        <v>9</v>
      </c>
      <c r="C5" t="s">
        <v>11</v>
      </c>
      <c r="D5">
        <v>45000</v>
      </c>
      <c r="E5">
        <v>44100</v>
      </c>
      <c r="F5">
        <v>820</v>
      </c>
      <c r="G5">
        <v>68</v>
      </c>
      <c r="H5">
        <v>52</v>
      </c>
      <c r="I5">
        <v>22500</v>
      </c>
      <c r="J5">
        <v>900</v>
      </c>
      <c r="K5">
        <v>2</v>
      </c>
    </row>
    <row r="6" spans="1:11" x14ac:dyDescent="0.3">
      <c r="A6" s="7">
        <v>46379</v>
      </c>
      <c r="B6" t="s">
        <v>9</v>
      </c>
      <c r="C6" t="s">
        <v>11</v>
      </c>
      <c r="D6">
        <v>44000</v>
      </c>
      <c r="E6">
        <v>43000</v>
      </c>
      <c r="F6">
        <v>830</v>
      </c>
      <c r="G6">
        <v>67</v>
      </c>
      <c r="H6">
        <v>52</v>
      </c>
      <c r="I6">
        <v>22000</v>
      </c>
      <c r="J6">
        <v>1000</v>
      </c>
      <c r="K6">
        <v>2.2727272727272729</v>
      </c>
    </row>
    <row r="7" spans="1:11" x14ac:dyDescent="0.3">
      <c r="A7" s="7">
        <v>46379</v>
      </c>
      <c r="B7" t="s">
        <v>9</v>
      </c>
      <c r="C7" t="s">
        <v>10</v>
      </c>
      <c r="D7">
        <v>14000</v>
      </c>
      <c r="E7">
        <v>13500</v>
      </c>
      <c r="F7">
        <v>830</v>
      </c>
      <c r="G7">
        <v>17</v>
      </c>
      <c r="H7">
        <v>28</v>
      </c>
      <c r="I7">
        <v>280</v>
      </c>
      <c r="J7">
        <v>500</v>
      </c>
      <c r="K7">
        <v>3.5714285714285712</v>
      </c>
    </row>
    <row r="8" spans="1:11" x14ac:dyDescent="0.3">
      <c r="A8" s="7">
        <v>46349</v>
      </c>
      <c r="B8" t="s">
        <v>9</v>
      </c>
      <c r="C8" t="s">
        <v>11</v>
      </c>
      <c r="D8">
        <v>46000</v>
      </c>
      <c r="E8">
        <v>45000</v>
      </c>
      <c r="F8">
        <v>880</v>
      </c>
      <c r="G8">
        <v>70</v>
      </c>
      <c r="H8">
        <v>53</v>
      </c>
      <c r="I8">
        <v>23000</v>
      </c>
      <c r="J8">
        <v>1000</v>
      </c>
      <c r="K8">
        <v>2.1739130434782608</v>
      </c>
    </row>
    <row r="9" spans="1:11" x14ac:dyDescent="0.3">
      <c r="A9" s="7">
        <v>46076</v>
      </c>
      <c r="B9" t="s">
        <v>9</v>
      </c>
      <c r="C9" t="s">
        <v>10</v>
      </c>
      <c r="D9">
        <v>14000</v>
      </c>
      <c r="E9">
        <v>13500</v>
      </c>
      <c r="F9">
        <v>790</v>
      </c>
      <c r="G9">
        <v>17</v>
      </c>
      <c r="H9">
        <v>28</v>
      </c>
      <c r="I9">
        <v>280</v>
      </c>
      <c r="J9">
        <v>500</v>
      </c>
      <c r="K9">
        <v>3.5714285714285712</v>
      </c>
    </row>
    <row r="10" spans="1:11" x14ac:dyDescent="0.3">
      <c r="A10" s="7">
        <v>46076</v>
      </c>
      <c r="B10" t="s">
        <v>9</v>
      </c>
      <c r="C10" t="s">
        <v>11</v>
      </c>
      <c r="D10">
        <v>43000</v>
      </c>
      <c r="E10">
        <v>42000</v>
      </c>
      <c r="F10">
        <v>790</v>
      </c>
      <c r="G10">
        <v>65</v>
      </c>
      <c r="H10">
        <v>52</v>
      </c>
      <c r="I10">
        <v>21500</v>
      </c>
      <c r="J10">
        <v>1000</v>
      </c>
      <c r="K10">
        <v>2.3255813953488373</v>
      </c>
    </row>
    <row r="11" spans="1:11" x14ac:dyDescent="0.3">
      <c r="A11" s="7">
        <v>46349</v>
      </c>
      <c r="B11" t="s">
        <v>9</v>
      </c>
      <c r="C11" t="s">
        <v>10</v>
      </c>
      <c r="D11">
        <v>16000</v>
      </c>
      <c r="E11">
        <v>15500</v>
      </c>
      <c r="F11">
        <v>880</v>
      </c>
      <c r="G11">
        <v>19</v>
      </c>
      <c r="H11">
        <v>28</v>
      </c>
      <c r="I11">
        <v>320</v>
      </c>
      <c r="J11">
        <v>500</v>
      </c>
      <c r="K11">
        <v>3.125</v>
      </c>
    </row>
    <row r="12" spans="1:11" x14ac:dyDescent="0.3">
      <c r="A12" s="7">
        <v>46318</v>
      </c>
      <c r="B12" t="s">
        <v>9</v>
      </c>
      <c r="C12" t="s">
        <v>11</v>
      </c>
      <c r="D12">
        <v>49000</v>
      </c>
      <c r="E12">
        <v>48000</v>
      </c>
      <c r="F12">
        <v>950</v>
      </c>
      <c r="G12">
        <v>73</v>
      </c>
      <c r="H12">
        <v>54</v>
      </c>
      <c r="I12">
        <v>24500</v>
      </c>
      <c r="J12">
        <v>1000</v>
      </c>
      <c r="K12">
        <v>2.0408163265306123</v>
      </c>
    </row>
    <row r="13" spans="1:11" x14ac:dyDescent="0.3">
      <c r="A13" s="7">
        <v>46318</v>
      </c>
      <c r="B13" t="s">
        <v>9</v>
      </c>
      <c r="C13" t="s">
        <v>10</v>
      </c>
      <c r="D13">
        <v>20000</v>
      </c>
      <c r="E13">
        <v>19500</v>
      </c>
      <c r="F13">
        <v>950</v>
      </c>
      <c r="G13">
        <v>24</v>
      </c>
      <c r="H13">
        <v>27</v>
      </c>
      <c r="I13">
        <v>400</v>
      </c>
      <c r="J13">
        <v>500</v>
      </c>
      <c r="K13">
        <v>2.5</v>
      </c>
    </row>
    <row r="14" spans="1:11" x14ac:dyDescent="0.3">
      <c r="A14" s="7">
        <v>46104</v>
      </c>
      <c r="B14" t="s">
        <v>9</v>
      </c>
      <c r="C14" t="s">
        <v>10</v>
      </c>
      <c r="D14">
        <v>17000</v>
      </c>
      <c r="E14">
        <v>16500</v>
      </c>
      <c r="F14">
        <v>850</v>
      </c>
      <c r="G14">
        <v>21</v>
      </c>
      <c r="H14">
        <v>28</v>
      </c>
      <c r="I14">
        <v>340</v>
      </c>
      <c r="J14">
        <v>500</v>
      </c>
      <c r="K14">
        <v>2.9411764705882351</v>
      </c>
    </row>
    <row r="15" spans="1:11" x14ac:dyDescent="0.3">
      <c r="A15" s="7">
        <v>46104</v>
      </c>
      <c r="B15" t="s">
        <v>9</v>
      </c>
      <c r="C15" t="s">
        <v>11</v>
      </c>
      <c r="D15">
        <v>46000</v>
      </c>
      <c r="E15">
        <v>45000</v>
      </c>
      <c r="F15">
        <v>850</v>
      </c>
      <c r="G15">
        <v>69</v>
      </c>
      <c r="H15">
        <v>53</v>
      </c>
      <c r="I15">
        <v>23000</v>
      </c>
      <c r="J15">
        <v>1000</v>
      </c>
      <c r="K15">
        <v>2.1739130434782608</v>
      </c>
    </row>
    <row r="16" spans="1:11" x14ac:dyDescent="0.3">
      <c r="A16" s="7">
        <v>46288</v>
      </c>
      <c r="B16" t="s">
        <v>9</v>
      </c>
      <c r="C16" t="s">
        <v>11</v>
      </c>
      <c r="D16">
        <v>55000</v>
      </c>
      <c r="E16">
        <v>54000</v>
      </c>
      <c r="F16">
        <v>1100</v>
      </c>
      <c r="G16">
        <v>79</v>
      </c>
      <c r="H16">
        <v>56</v>
      </c>
      <c r="I16">
        <v>27500</v>
      </c>
      <c r="J16">
        <v>1000</v>
      </c>
      <c r="K16">
        <v>1.8181818181818181</v>
      </c>
    </row>
    <row r="17" spans="1:11" x14ac:dyDescent="0.3">
      <c r="A17" s="7">
        <v>46288</v>
      </c>
      <c r="B17" t="s">
        <v>9</v>
      </c>
      <c r="C17" t="s">
        <v>10</v>
      </c>
      <c r="D17">
        <v>24000</v>
      </c>
      <c r="E17">
        <v>23500</v>
      </c>
      <c r="F17">
        <v>1100</v>
      </c>
      <c r="G17">
        <v>29</v>
      </c>
      <c r="H17">
        <v>27</v>
      </c>
      <c r="I17">
        <v>480</v>
      </c>
      <c r="J17">
        <v>500</v>
      </c>
      <c r="K17">
        <v>2.083333333333333</v>
      </c>
    </row>
    <row r="18" spans="1:11" x14ac:dyDescent="0.3">
      <c r="A18" s="7">
        <v>46257</v>
      </c>
      <c r="B18" t="s">
        <v>9</v>
      </c>
      <c r="C18" t="s">
        <v>11</v>
      </c>
      <c r="D18">
        <v>61000</v>
      </c>
      <c r="E18">
        <v>60000</v>
      </c>
      <c r="F18">
        <v>1230</v>
      </c>
      <c r="G18">
        <v>87</v>
      </c>
      <c r="H18">
        <v>58</v>
      </c>
      <c r="I18">
        <v>30500</v>
      </c>
      <c r="J18">
        <v>1000</v>
      </c>
      <c r="K18">
        <v>1.639344262295082</v>
      </c>
    </row>
    <row r="19" spans="1:11" x14ac:dyDescent="0.3">
      <c r="A19" s="7">
        <v>46135</v>
      </c>
      <c r="B19" t="s">
        <v>9</v>
      </c>
      <c r="C19" t="s">
        <v>10</v>
      </c>
      <c r="D19">
        <v>20000</v>
      </c>
      <c r="E19">
        <v>19500</v>
      </c>
      <c r="F19">
        <v>900</v>
      </c>
      <c r="G19">
        <v>24</v>
      </c>
      <c r="H19">
        <v>27</v>
      </c>
      <c r="I19">
        <v>400</v>
      </c>
      <c r="J19">
        <v>500</v>
      </c>
      <c r="K19">
        <v>2.5</v>
      </c>
    </row>
    <row r="20" spans="1:11" x14ac:dyDescent="0.3">
      <c r="A20" s="7">
        <v>46135</v>
      </c>
      <c r="B20" t="s">
        <v>9</v>
      </c>
      <c r="C20" t="s">
        <v>11</v>
      </c>
      <c r="D20">
        <v>48000</v>
      </c>
      <c r="E20">
        <v>47000</v>
      </c>
      <c r="F20">
        <v>900</v>
      </c>
      <c r="G20">
        <v>72</v>
      </c>
      <c r="H20">
        <v>53</v>
      </c>
      <c r="I20">
        <v>24000</v>
      </c>
      <c r="J20">
        <v>1000</v>
      </c>
      <c r="K20">
        <v>2.083333333333333</v>
      </c>
    </row>
    <row r="21" spans="1:11" x14ac:dyDescent="0.3">
      <c r="A21" s="7">
        <v>46257</v>
      </c>
      <c r="B21" t="s">
        <v>9</v>
      </c>
      <c r="C21" t="s">
        <v>10</v>
      </c>
      <c r="D21">
        <v>27000</v>
      </c>
      <c r="E21">
        <v>26500</v>
      </c>
      <c r="F21">
        <v>1230</v>
      </c>
      <c r="G21">
        <v>32</v>
      </c>
      <c r="H21">
        <v>26</v>
      </c>
      <c r="I21">
        <v>540</v>
      </c>
      <c r="J21">
        <v>500</v>
      </c>
      <c r="K21">
        <v>1.8518518518518516</v>
      </c>
    </row>
    <row r="22" spans="1:11" x14ac:dyDescent="0.3">
      <c r="A22" s="7">
        <v>46226</v>
      </c>
      <c r="B22" t="s">
        <v>9</v>
      </c>
      <c r="C22" t="s">
        <v>11</v>
      </c>
      <c r="D22">
        <v>62000</v>
      </c>
      <c r="E22">
        <v>61000</v>
      </c>
      <c r="F22">
        <v>1250</v>
      </c>
      <c r="G22">
        <v>88</v>
      </c>
      <c r="H22">
        <v>58</v>
      </c>
      <c r="I22">
        <v>31000</v>
      </c>
      <c r="J22">
        <v>1000</v>
      </c>
      <c r="K22">
        <v>1.6129032258064515</v>
      </c>
    </row>
    <row r="23" spans="1:11" x14ac:dyDescent="0.3">
      <c r="A23" s="7">
        <v>46226</v>
      </c>
      <c r="B23" t="s">
        <v>9</v>
      </c>
      <c r="C23" t="s">
        <v>10</v>
      </c>
      <c r="D23">
        <v>28000</v>
      </c>
      <c r="E23">
        <v>27500</v>
      </c>
      <c r="F23">
        <v>1250</v>
      </c>
      <c r="G23">
        <v>33</v>
      </c>
      <c r="H23">
        <v>26</v>
      </c>
      <c r="I23">
        <v>560</v>
      </c>
      <c r="J23">
        <v>500</v>
      </c>
      <c r="K23">
        <v>1.7857142857142856</v>
      </c>
    </row>
    <row r="24" spans="1:11" x14ac:dyDescent="0.3">
      <c r="A24" s="7">
        <v>46165</v>
      </c>
      <c r="B24" t="s">
        <v>9</v>
      </c>
      <c r="C24" t="s">
        <v>10</v>
      </c>
      <c r="D24">
        <v>24000</v>
      </c>
      <c r="E24">
        <v>23500</v>
      </c>
      <c r="F24">
        <v>980</v>
      </c>
      <c r="G24">
        <v>29</v>
      </c>
      <c r="H24">
        <v>26</v>
      </c>
      <c r="I24">
        <v>480</v>
      </c>
      <c r="J24">
        <v>500</v>
      </c>
      <c r="K24">
        <v>2.083333333333333</v>
      </c>
    </row>
    <row r="25" spans="1:11" x14ac:dyDescent="0.3">
      <c r="A25" s="7">
        <v>46165</v>
      </c>
      <c r="B25" t="s">
        <v>9</v>
      </c>
      <c r="C25" t="s">
        <v>11</v>
      </c>
      <c r="D25">
        <v>52000</v>
      </c>
      <c r="E25">
        <v>51000</v>
      </c>
      <c r="F25">
        <v>980</v>
      </c>
      <c r="G25">
        <v>75</v>
      </c>
      <c r="H25">
        <v>54</v>
      </c>
      <c r="I25">
        <v>26000</v>
      </c>
      <c r="J25">
        <v>1000</v>
      </c>
      <c r="K25">
        <v>1.9230769230769231</v>
      </c>
    </row>
    <row r="26" spans="1:11" x14ac:dyDescent="0.3">
      <c r="A26" s="7">
        <v>46196</v>
      </c>
      <c r="B26" t="s">
        <v>9</v>
      </c>
      <c r="C26" t="s">
        <v>11</v>
      </c>
      <c r="D26">
        <v>58000</v>
      </c>
      <c r="E26">
        <v>57000</v>
      </c>
      <c r="F26">
        <v>1150</v>
      </c>
      <c r="G26">
        <v>82</v>
      </c>
      <c r="H26">
        <v>56</v>
      </c>
      <c r="I26">
        <v>29000</v>
      </c>
      <c r="J26">
        <v>1000</v>
      </c>
      <c r="K26">
        <v>1.7241379310344827</v>
      </c>
    </row>
    <row r="27" spans="1:11" x14ac:dyDescent="0.3">
      <c r="A27" s="7">
        <v>46196</v>
      </c>
      <c r="B27" t="s">
        <v>9</v>
      </c>
      <c r="C27" t="s">
        <v>10</v>
      </c>
      <c r="D27">
        <v>27000</v>
      </c>
      <c r="E27">
        <v>26500</v>
      </c>
      <c r="F27">
        <v>1150</v>
      </c>
      <c r="G27">
        <v>32</v>
      </c>
      <c r="H27">
        <v>26</v>
      </c>
      <c r="I27">
        <v>540</v>
      </c>
      <c r="J27">
        <v>500</v>
      </c>
      <c r="K27">
        <v>1.8518518518518516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DFBC-70C3-4180-9A12-0275828CC4D6}">
  <dimension ref="A1:A7"/>
  <sheetViews>
    <sheetView workbookViewId="0">
      <selection activeCell="G17" sqref="G17"/>
    </sheetView>
  </sheetViews>
  <sheetFormatPr defaultRowHeight="14.4" x14ac:dyDescent="0.3"/>
  <sheetData>
    <row r="1" spans="1:1" ht="25.8" x14ac:dyDescent="0.5">
      <c r="A1" s="21" t="s">
        <v>68</v>
      </c>
    </row>
    <row r="2" spans="1:1" ht="25.8" x14ac:dyDescent="0.5">
      <c r="A2" s="21"/>
    </row>
    <row r="3" spans="1:1" ht="23.4" x14ac:dyDescent="0.45">
      <c r="A3" s="22" t="s">
        <v>69</v>
      </c>
    </row>
    <row r="4" spans="1:1" ht="23.4" x14ac:dyDescent="0.45">
      <c r="A4" s="22" t="s">
        <v>70</v>
      </c>
    </row>
    <row r="5" spans="1:1" ht="23.4" x14ac:dyDescent="0.45">
      <c r="A5" s="22" t="s">
        <v>71</v>
      </c>
    </row>
    <row r="6" spans="1:1" ht="23.4" x14ac:dyDescent="0.45">
      <c r="A6" s="22" t="s">
        <v>72</v>
      </c>
    </row>
    <row r="7" spans="1:1" ht="23.4" x14ac:dyDescent="0.45">
      <c r="A7" s="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Clean_Data</vt:lpstr>
      <vt:lpstr>Pivot_Table_P1</vt:lpstr>
      <vt:lpstr>Dashboard_P1</vt:lpstr>
      <vt:lpstr>Insights_P1</vt:lpstr>
      <vt:lpstr>Pivot_Table_P2</vt:lpstr>
      <vt:lpstr>Dashboard_P2</vt:lpstr>
      <vt:lpstr>Detail1</vt:lpstr>
      <vt:lpstr>Detail2</vt:lpstr>
      <vt:lpstr>Insights_P2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HH5080</dc:creator>
  <cp:lastModifiedBy>HH5080</cp:lastModifiedBy>
  <cp:lastPrinted>2026-05-02T16:00:35Z</cp:lastPrinted>
  <dcterms:created xsi:type="dcterms:W3CDTF">2026-04-27T16:12:44Z</dcterms:created>
  <dcterms:modified xsi:type="dcterms:W3CDTF">2026-05-05T22:55:58Z</dcterms:modified>
</cp:coreProperties>
</file>